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4407324e8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Data" sheetId="1" r:id="R3878dca565954a27"/>
    <x:sheet xmlns:r="http://schemas.openxmlformats.org/officeDocument/2006/relationships" name="Historical Financials" sheetId="2" r:id="R01edce6308064f44"/>
    <x:sheet xmlns:r="http://schemas.openxmlformats.org/officeDocument/2006/relationships" name="Three-Case Scenarios" sheetId="3" r:id="Rdaef678dbc204dd0"/>
    <x:sheet xmlns:r="http://schemas.openxmlformats.org/officeDocument/2006/relationships" name="DCF" sheetId="4" r:id="Ra0d7aa75bdf44822"/>
    <x:sheet xmlns:r="http://schemas.openxmlformats.org/officeDocument/2006/relationships" name="Peer Comps" sheetId="5" r:id="Ra1485c6397414122"/>
    <x:sheet xmlns:r="http://schemas.openxmlformats.org/officeDocument/2006/relationships" name="Comparative Analysis" sheetId="6" r:id="Rb7191f738d404b44"/>
    <x:sheet xmlns:r="http://schemas.openxmlformats.org/officeDocument/2006/relationships" name="Dashboard" sheetId="7" r:id="R0ce513016e9a429e"/>
    <x:sheet xmlns:r="http://schemas.openxmlformats.org/officeDocument/2006/relationships" name="Filings" sheetId="8" r:id="Rfde3e4a4a2b742e1"/>
    <x:sheet xmlns:r="http://schemas.openxmlformats.org/officeDocument/2006/relationships" name="Research Notes" sheetId="9" r:id="Rfd812d9a810647a8"/>
    <x:sheet xmlns:r="http://schemas.openxmlformats.org/officeDocument/2006/relationships" name="Research Checklist" sheetId="10" r:id="Rebab5cc45b924b75"/>
    <x:sheet xmlns:r="http://schemas.openxmlformats.org/officeDocument/2006/relationships" name="Data Dictionary" sheetId="11" r:id="Raccff0690ed0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;[Red]($#,##0.00);-"/>
    <x:numFmt numFmtId="201" formatCode="#,##0.0;[Red](#,##0.0);-"/>
    <x:numFmt numFmtId="202" formatCode="$#,##0.0;[Red]($#,##0.0);-"/>
    <x:numFmt numFmtId="203" formatCode="0.0x;[Red](0.0x);-"/>
    <x:numFmt numFmtId="204" formatCode="0.0%;[Red](0.0%);-"/>
    <x:numFmt numFmtId="205" formatCode="0.000x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sz val="11"/>
      <x:color rgb="FF008000"/>
      <x:name val="Carlito"/>
    </x:font>
    <x:font>
      <x:i/>
      <x:sz val="11"/>
      <x:color rgb="FF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5F9FC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3" fillId="0" borderId="0" xfId="0" applyNumberFormat="1" applyFont="1" applyFill="1" applyBorder="1"/>
    <x:xf numFmtId="204" fontId="3" fillId="0" borderId="0" xfId="0" applyNumberFormat="1" applyFont="1" applyFill="1" applyBorder="1"/>
    <x:xf numFmtId="201" fontId="3" fillId="0" borderId="1" xfId="0" applyNumberFormat="1" applyFont="1" applyFill="1" applyBorder="1"/>
    <x:xf numFmtId="204" fontId="3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4" fontId="3" fillId="4" borderId="0" xfId="0" applyNumberFormat="1" applyFont="1" applyFill="1" applyBorder="1"/>
    <x:xf numFmtId="204" fontId="3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right"/>
    </x:xf>
    <x:xf numFmtId="0" fontId="2" fillId="2" borderId="1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/>
    </x:xf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4" fontId="2" fillId="3" borderId="0" xfId="0" applyNumberFormat="1" applyFont="1" applyFill="1" applyBorder="1" applyAlignment="1">
      <x:alignment horizontal="center" vertical="center" wrapText="1"/>
    </x:xf>
    <x:xf numFmtId="204" fontId="2" fillId="3" borderId="1" xfId="0" applyNumberFormat="1" applyFont="1" applyFill="1" applyBorder="1" applyAlignment="1">
      <x:alignment horizontal="center" vertical="center" wrapText="1"/>
    </x:xf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a23e5b9cd48fc" /><Relationship Type="http://schemas.openxmlformats.org/officeDocument/2006/relationships/theme" Target="/xl/theme/theme1.xml" Id="Ree0e26ea2c7f4f71" /><Relationship Type="http://schemas.openxmlformats.org/officeDocument/2006/relationships/sharedStrings" Target="/xl/sharedStrings.xml" Id="R7d0b744d81644d24" /><Relationship Type="http://schemas.openxmlformats.org/officeDocument/2006/relationships/worksheet" Target="/xl/worksheets/sheet1.xml" Id="R3878dca565954a27" /><Relationship Type="http://schemas.openxmlformats.org/officeDocument/2006/relationships/worksheet" Target="/xl/worksheets/sheet2.xml" Id="R01edce6308064f44" /><Relationship Type="http://schemas.openxmlformats.org/officeDocument/2006/relationships/worksheet" Target="/xl/worksheets/sheet3.xml" Id="Rdaef678dbc204dd0" /><Relationship Type="http://schemas.openxmlformats.org/officeDocument/2006/relationships/worksheet" Target="/xl/worksheets/sheet4.xml" Id="Ra0d7aa75bdf44822" /><Relationship Type="http://schemas.openxmlformats.org/officeDocument/2006/relationships/worksheet" Target="/xl/worksheets/sheet5.xml" Id="Ra1485c6397414122" /><Relationship Type="http://schemas.openxmlformats.org/officeDocument/2006/relationships/worksheet" Target="/xl/worksheets/sheet6.xml" Id="Rb7191f738d404b44" /><Relationship Type="http://schemas.openxmlformats.org/officeDocument/2006/relationships/worksheet" Target="/xl/worksheets/sheet7.xml" Id="R0ce513016e9a429e" /><Relationship Type="http://schemas.openxmlformats.org/officeDocument/2006/relationships/worksheet" Target="/xl/worksheets/sheet8.xml" Id="Rfde3e4a4a2b742e1" /><Relationship Type="http://schemas.openxmlformats.org/officeDocument/2006/relationships/worksheet" Target="/xl/worksheets/sheet9.xml" Id="Rfd812d9a810647a8" /><Relationship Type="http://schemas.openxmlformats.org/officeDocument/2006/relationships/worksheet" Target="/xl/worksheets/sheet10.xml" Id="Rebab5cc45b924b75" /><Relationship Type="http://schemas.openxmlformats.org/officeDocument/2006/relationships/worksheet" Target="/xl/worksheets/sheet11.xml" Id="Raccff0690ed047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4" max="4" width="42" hidden="0" customWidth="1"/>
  </x:cols>
  <x:sheetData>
    <x:row r="1" ht="28" customHeight="1">
      <x:c r="A1" s="4" t="str">
        <x:v>Company &amp; Market Data</x:v>
      </x:c>
    </x:row>
    <x:row r="3">
      <x:c r="A3" s="12" t="str">
        <x:v>Metric</x:v>
      </x:c>
      <x:c r="B3" s="12" t="str">
        <x:v>Value</x:v>
      </x:c>
      <x:c r="D3" t="str">
        <x:v>Sources</x:v>
      </x:c>
    </x:row>
    <x:row r="4">
      <x:c r="A4" t="str">
        <x:v>Ticker</x:v>
      </x:c>
      <x:c r="B4" s="26" t="str">
        <x:v>GOOGL</x:v>
      </x:c>
      <x:c r="D4" t="str">
        <x:v>Market data: Yahoo Finance</x:v>
      </x:c>
    </x:row>
    <x:row r="5">
      <x:c r="A5" t="str">
        <x:v>Company</x:v>
      </x:c>
      <x:c r="B5" s="26" t="str">
        <x:v>Alphabet Inc.</x:v>
      </x:c>
      <x:c r="D5" t="str">
        <x:v>Historical data: SEC EDGAR</x:v>
      </x:c>
    </x:row>
    <x:row r="6">
      <x:c r="A6" t="str">
        <x:v>Sector</x:v>
      </x:c>
      <x:c r="B6" s="26" t="str">
        <x:v>Communication Services</x:v>
      </x:c>
      <x:c r="D6" t="str">
        <x:v>Latest 10-K: FY2025</x:v>
      </x:c>
    </x:row>
    <x:row r="7">
      <x:c r="A7" t="str">
        <x:v>Industry</x:v>
      </x:c>
      <x:c r="B7" s="26" t="str">
        <x:v>Internet Content &amp; Information</x:v>
      </x:c>
      <x:c r="D7" t="str">
        <x:v>Latest filing: Q2 2026 10-Q</x:v>
      </x:c>
    </x:row>
    <x:row r="8">
      <x:c r="A8" t="str">
        <x:v>Current Price</x:v>
      </x:c>
      <x:c r="B8" s="27" t="n">
        <x:v>354.3</x:v>
      </x:c>
    </x:row>
    <x:row r="9">
      <x:c r="A9" t="str">
        <x:v>Shares Outstanding (bn)</x:v>
      </x:c>
      <x:c r="B9" s="34" t="n">
        <x:f>B10/B8</x:f>
        <x:v>12.229934327112616</x:v>
      </x:c>
    </x:row>
    <x:row r="10">
      <x:c r="A10" t="str">
        <x:v>Market Cap ($bn)</x:v>
      </x:c>
      <x:c r="B10" s="30" t="n">
        <x:v>4333.065732096</x:v>
      </x:c>
    </x:row>
    <x:row r="11">
      <x:c r="A11" t="str">
        <x:v>Enterprise Value ($bn)</x:v>
      </x:c>
      <x:c r="B11" s="30" t="n">
        <x:v>4271.622586368</x:v>
      </x:c>
    </x:row>
    <x:row r="12">
      <x:c r="A12" t="str">
        <x:v>Cash ($bn)</x:v>
      </x:c>
      <x:c r="B12" s="30" t="n">
        <x:v>242.473992192</x:v>
      </x:c>
    </x:row>
    <x:row r="13">
      <x:c r="A13" t="str">
        <x:v>Total Debt ($bn)</x:v>
      </x:c>
      <x:c r="B13" s="30" t="n">
        <x:v>120.79099904</x:v>
      </x:c>
    </x:row>
    <x:row r="14">
      <x:c r="A14" t="str">
        <x:v>Net Debt / (Cash) ($bn)</x:v>
      </x:c>
      <x:c r="B14" s="36" t="n">
        <x:f>B13-B12</x:f>
        <x:v>-121.682993152</x:v>
      </x:c>
    </x:row>
    <x:row r="15">
      <x:c r="A15" t="str">
        <x:v>Forward P/E</x:v>
      </x:c>
      <x:c r="B15" s="32" t="n">
        <x:v>24.045721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8" customHeight="1">
      <x:c r="A1" s="4" t="str">
        <x:v>Historical Financials — Actuals</x:v>
      </x:c>
      <x:c r="B1" s="50"/>
    </x:row>
    <x:row r="2">
      <x:c r="A2" t="str">
        <x:v>$ in billions except per-share data</x:v>
      </x:c>
      <x:c r="B2"/>
      <x:c r="C2"/>
      <x:c r="D2"/>
      <x:c r="E2"/>
      <x:c r="F2"/>
      <x:c r="G2"/>
    </x:row>
    <x:row r="3">
      <x:c r="A3" s="12" t="str">
        <x:v>Metric</x:v>
      </x:c>
      <x:c r="B3" s="12" t="n">
        <x:v>2020</x:v>
      </x:c>
      <x:c r="C3" s="12" t="n">
        <x:v>2021</x:v>
      </x:c>
      <x:c r="D3" s="12" t="n">
        <x:v>2022</x:v>
      </x:c>
      <x:c r="E3" s="12" t="n">
        <x:v>2023</x:v>
      </x:c>
      <x:c r="F3" s="12" t="n">
        <x:v>2024</x:v>
      </x:c>
      <x:c r="G3" s="12" t="n">
        <x:v>2025</x:v>
      </x:c>
    </x:row>
    <x:row r="4">
      <x:c r="A4" t="str">
        <x:v>Revenue</x:v>
      </x:c>
      <x:c r="B4" s="40" t="n">
        <x:v>182.527</x:v>
      </x:c>
      <x:c r="C4" s="40" t="n">
        <x:v>257.637</x:v>
      </x:c>
      <x:c r="D4" s="40" t="n">
        <x:v>282.836</x:v>
      </x:c>
      <x:c r="E4" s="40" t="n">
        <x:v>307.394</x:v>
      </x:c>
      <x:c r="F4" s="40" t="n">
        <x:v>350.018</x:v>
      </x:c>
      <x:c r="G4" s="40" t="n">
        <x:v>402.836</x:v>
      </x:c>
    </x:row>
    <x:row r="5">
      <x:c r="A5" t="str">
        <x:v>Revenue Growth</x:v>
      </x:c>
      <x:c r="B5" s="41"/>
      <x:c r="C5" s="44" t="n">
        <x:f>C4/B4-1</x:f>
        <x:v>0.41150076427049154</x:v>
      </x:c>
      <x:c r="D5" s="44" t="n">
        <x:f>D4/C4-1</x:f>
        <x:v>0.09780815643715779</x:v>
      </x:c>
      <x:c r="E5" s="44" t="n">
        <x:f>E4/D4-1</x:f>
        <x:v>0.0868277022726951</x:v>
      </x:c>
      <x:c r="F5" s="44" t="n">
        <x:f>F4/E4-1</x:f>
        <x:v>0.1386624332290154</x:v>
      </x:c>
      <x:c r="G5" s="44" t="n">
        <x:f>G4/F4-1</x:f>
        <x:v>0.15090081081544393</x:v>
      </x:c>
    </x:row>
    <x:row r="6">
      <x:c r="A6" t="str">
        <x:v>Cost of Revenue</x:v>
      </x:c>
      <x:c r="B6" s="40" t="n">
        <x:v>84.732</x:v>
      </x:c>
      <x:c r="C6" s="40" t="n">
        <x:v>110.939</x:v>
      </x:c>
      <x:c r="D6" s="40" t="n">
        <x:v>126.203</x:v>
      </x:c>
      <x:c r="E6" s="40" t="n">
        <x:v>133.332</x:v>
      </x:c>
      <x:c r="F6" s="40" t="n">
        <x:v>146.306</x:v>
      </x:c>
      <x:c r="G6" s="40" t="n">
        <x:v>162.535</x:v>
      </x:c>
    </x:row>
    <x:row r="7">
      <x:c r="A7" t="str">
        <x:v>Gross Profit</x:v>
      </x:c>
      <x:c r="B7" s="34" t="n">
        <x:f>B4-B6</x:f>
        <x:v>97.79499999999999</x:v>
      </x:c>
      <x:c r="C7" s="34" t="n">
        <x:f>C4-C6</x:f>
        <x:v>146.698</x:v>
      </x:c>
      <x:c r="D7" s="34" t="n">
        <x:f>D4-D6</x:f>
        <x:v>156.633</x:v>
      </x:c>
      <x:c r="E7" s="34" t="n">
        <x:f>E4-E6</x:f>
        <x:v>174.062</x:v>
      </x:c>
      <x:c r="F7" s="34" t="n">
        <x:f>F4-F6</x:f>
        <x:v>203.71199999999996</x:v>
      </x:c>
      <x:c r="G7" s="34" t="n">
        <x:f>G4-G6</x:f>
        <x:v>240.30100000000002</x:v>
      </x:c>
    </x:row>
    <x:row r="8">
      <x:c r="A8" t="str">
        <x:v>Gross Margin</x:v>
      </x:c>
      <x:c r="B8" s="44" t="n">
        <x:f>B7/B4</x:f>
        <x:v>0.5357837470620784</x:v>
      </x:c>
      <x:c r="C8" s="44" t="n">
        <x:f>C7/C4</x:f>
        <x:v>0.5693980290098084</x:v>
      </x:c>
      <x:c r="D8" s="44" t="n">
        <x:f>D7/D4</x:f>
        <x:v>0.5537944250378312</x:v>
      </x:c>
      <x:c r="E8" s="44" t="n">
        <x:f>E7/E4</x:f>
        <x:v>0.5662504798402052</x:v>
      </x:c>
      <x:c r="F8" s="44" t="n">
        <x:f>F7/F4</x:f>
        <x:v>0.5820043540617911</x:v>
      </x:c>
      <x:c r="G8" s="44" t="n">
        <x:f>G7/G4</x:f>
        <x:v>0.5965231508603998</x:v>
      </x:c>
    </x:row>
    <x:row r="9">
      <x:c r="A9" t="str">
        <x:v>Operating Income</x:v>
      </x:c>
      <x:c r="B9" s="40" t="n">
        <x:v>41.224</x:v>
      </x:c>
      <x:c r="C9" s="40" t="n">
        <x:v>78.714</x:v>
      </x:c>
      <x:c r="D9" s="40" t="n">
        <x:v>74.842</x:v>
      </x:c>
      <x:c r="E9" s="40" t="n">
        <x:v>84.293</x:v>
      </x:c>
      <x:c r="F9" s="40" t="n">
        <x:v>112.39</x:v>
      </x:c>
      <x:c r="G9" s="40" t="n">
        <x:v>129.039</x:v>
      </x:c>
    </x:row>
    <x:row r="10">
      <x:c r="A10" t="str">
        <x:v>Operating Margin</x:v>
      </x:c>
      <x:c r="B10" s="44" t="n">
        <x:f>B9/B4</x:f>
        <x:v>0.22585151785763202</x:v>
      </x:c>
      <x:c r="C10" s="44" t="n">
        <x:f>C9/C4</x:f>
        <x:v>0.3055228868524319</x:v>
      </x:c>
      <x:c r="D10" s="44" t="n">
        <x:f>D9/D4</x:f>
        <x:v>0.2646127084246701</x:v>
      </x:c>
      <x:c r="E10" s="44" t="n">
        <x:f>E9/E4</x:f>
        <x:v>0.27421810445226646</x:v>
      </x:c>
      <x:c r="F10" s="44" t="n">
        <x:f>F9/F4</x:f>
        <x:v>0.321097772114577</x:v>
      </x:c>
      <x:c r="G10" s="44" t="n">
        <x:f>G9/G4</x:f>
        <x:v>0.3203263859238002</x:v>
      </x:c>
    </x:row>
    <x:row r="11">
      <x:c r="A11" t="str">
        <x:v>Net Income</x:v>
      </x:c>
      <x:c r="B11" s="40" t="n">
        <x:v>40.269</x:v>
      </x:c>
      <x:c r="C11" s="40" t="n">
        <x:v>76.033</x:v>
      </x:c>
      <x:c r="D11" s="40" t="n">
        <x:v>59.972</x:v>
      </x:c>
      <x:c r="E11" s="40" t="n">
        <x:v>73.795</x:v>
      </x:c>
      <x:c r="F11" s="40" t="n">
        <x:v>100.118</x:v>
      </x:c>
      <x:c r="G11" s="40" t="n">
        <x:v>132.17</x:v>
      </x:c>
    </x:row>
    <x:row r="12">
      <x:c r="A12" t="str">
        <x:v>Diluted EPS</x:v>
      </x:c>
      <x:c r="B12" s="40" t="n">
        <x:v>2.93</x:v>
      </x:c>
      <x:c r="C12" s="40" t="n">
        <x:v>5.61</x:v>
      </x:c>
      <x:c r="D12" s="40" t="n">
        <x:v>4.56</x:v>
      </x:c>
      <x:c r="E12" s="40" t="n">
        <x:v>5.8</x:v>
      </x:c>
      <x:c r="F12" s="40" t="n">
        <x:v>8.04</x:v>
      </x:c>
      <x:c r="G12" s="40" t="n">
        <x:v>10.81</x:v>
      </x:c>
    </x:row>
    <x:row r="13">
      <x:c r="A13" t="str">
        <x:v>Diluted Shares (bn)</x:v>
      </x:c>
      <x:c r="B13" s="34" t="n">
        <x:f>B11/B12</x:f>
        <x:v>13.743686006825937</x:v>
      </x:c>
      <x:c r="C13" s="34" t="n">
        <x:f>C11/C12</x:f>
        <x:v>13.553119429590017</x:v>
      </x:c>
      <x:c r="D13" s="34" t="n">
        <x:f>D11/D12</x:f>
        <x:v>13.151754385964914</x:v>
      </x:c>
      <x:c r="E13" s="34" t="n">
        <x:f>E11/E12</x:f>
        <x:v>12.723275862068967</x:v>
      </x:c>
      <x:c r="F13" s="34" t="n">
        <x:f>F11/F12</x:f>
        <x:v>12.452487562189056</x:v>
      </x:c>
      <x:c r="G13" s="34" t="n">
        <x:f>G11/G12</x:f>
        <x:v>12.226641998149859</x:v>
      </x:c>
    </x:row>
    <x:row r="14">
      <x:c r="A14" t="str">
        <x:v>Operating Cash Flow</x:v>
      </x:c>
      <x:c r="B14" s="40" t="n">
        <x:v>65.124</x:v>
      </x:c>
      <x:c r="C14" s="40" t="n">
        <x:v>91.652</x:v>
      </x:c>
      <x:c r="D14" s="40" t="n">
        <x:v>91.495</x:v>
      </x:c>
      <x:c r="E14" s="40" t="n">
        <x:v>101.746</x:v>
      </x:c>
      <x:c r="F14" s="40" t="n">
        <x:v>125.299</x:v>
      </x:c>
      <x:c r="G14" s="40" t="n">
        <x:v>164.713</x:v>
      </x:c>
    </x:row>
    <x:row r="15">
      <x:c r="A15" t="str">
        <x:v>Capex</x:v>
      </x:c>
      <x:c r="B15" s="40" t="n">
        <x:v>22.281</x:v>
      </x:c>
      <x:c r="C15" s="40" t="n">
        <x:v>24.64</x:v>
      </x:c>
      <x:c r="D15" s="40" t="n">
        <x:v>31.485</x:v>
      </x:c>
      <x:c r="E15" s="40" t="n">
        <x:v>32.251</x:v>
      </x:c>
      <x:c r="F15" s="40" t="n">
        <x:v>52.535</x:v>
      </x:c>
      <x:c r="G15" s="40" t="n">
        <x:v>91.447</x:v>
      </x:c>
    </x:row>
    <x:row r="16">
      <x:c r="A16" t="str">
        <x:v>Free Cash Flow</x:v>
      </x:c>
      <x:c r="B16" s="34" t="n">
        <x:f>B14-B15</x:f>
        <x:v>42.842999999999996</x:v>
      </x:c>
      <x:c r="C16" s="34" t="n">
        <x:f>C14-C15</x:f>
        <x:v>67.012</x:v>
      </x:c>
      <x:c r="D16" s="34" t="n">
        <x:f>D14-D15</x:f>
        <x:v>60.010000000000005</x:v>
      </x:c>
      <x:c r="E16" s="34" t="n">
        <x:f>E14-E15</x:f>
        <x:v>69.495</x:v>
      </x:c>
      <x:c r="F16" s="34" t="n">
        <x:f>F14-F15</x:f>
        <x:v>72.76400000000001</x:v>
      </x:c>
      <x:c r="G16" s="34" t="n">
        <x:f>G14-G15</x:f>
        <x:v>73.26599999999999</x:v>
      </x:c>
    </x:row>
    <x:row r="17">
      <x:c r="A17" t="str">
        <x:v>FCF Margin</x:v>
      </x:c>
      <x:c r="B17" s="44" t="n">
        <x:f>B16/B4</x:f>
        <x:v>0.23472143847211646</x:v>
      </x:c>
      <x:c r="C17" s="44" t="n">
        <x:f>C16/C4</x:f>
        <x:v>0.2601023921253547</x:v>
      </x:c>
      <x:c r="D17" s="44" t="n">
        <x:f>D16/D4</x:f>
        <x:v>0.21217242500954617</x:v>
      </x:c>
      <x:c r="E17" s="44" t="n">
        <x:f>E16/E4</x:f>
        <x:v>0.22607793255561268</x:v>
      </x:c>
      <x:c r="F17" s="44" t="n">
        <x:f>F16/F4</x:f>
        <x:v>0.20788645155392013</x:v>
      </x:c>
      <x:c r="G17" s="44" t="n">
        <x:f>G16/G4</x:f>
        <x:v>0.18187550268595654</x:v>
      </x:c>
    </x:row>
    <x:row r="18">
      <x:c r="A18" t="str">
        <x:v>Depreciation</x:v>
      </x:c>
      <x:c r="B18" s="40" t="n">
        <x:v>12.9</x:v>
      </x:c>
      <x:c r="C18" s="40" t="n">
        <x:v>11.6</x:v>
      </x:c>
      <x:c r="D18" s="40" t="n">
        <x:v>15.3</x:v>
      </x:c>
      <x:c r="E18" s="40" t="n">
        <x:v>11.946</x:v>
      </x:c>
      <x:c r="F18" s="40" t="n">
        <x:v>15.311</x:v>
      </x:c>
      <x:c r="G18" s="40" t="n">
        <x:v>21.136</x:v>
      </x:c>
    </x:row>
    <x:row r="19">
      <x:c r="A19" t="str">
        <x:v>R&amp;D</x:v>
      </x:c>
      <x:c r="B19" s="40" t="n">
        <x:v>27.573</x:v>
      </x:c>
      <x:c r="C19" s="40" t="n">
        <x:v>31.562</x:v>
      </x:c>
      <x:c r="D19" s="40" t="n">
        <x:v>39.5</x:v>
      </x:c>
      <x:c r="E19" s="40" t="n">
        <x:v>45.427</x:v>
      </x:c>
      <x:c r="F19" s="40" t="n">
        <x:v>49.326</x:v>
      </x:c>
      <x:c r="G19" s="40" t="n">
        <x:v>61.087</x:v>
      </x:c>
    </x:row>
    <x:row r="20">
      <x:c r="A20" t="str">
        <x:v>R&amp;D / Revenue</x:v>
      </x:c>
      <x:c r="B20" s="44" t="n">
        <x:f>B19/B4</x:f>
        <x:v>0.15106258252203786</x:v>
      </x:c>
      <x:c r="C20" s="44" t="n">
        <x:f>C19/C4</x:f>
        <x:v>0.12250569599863374</x:v>
      </x:c>
      <x:c r="D20" s="44" t="n">
        <x:f>D19/D4</x:f>
        <x:v>0.13965690364734332</x:v>
      </x:c>
      <x:c r="E20" s="44" t="n">
        <x:f>E19/E4</x:f>
        <x:v>0.14778102370247956</x:v>
      </x:c>
      <x:c r="F20" s="44" t="n">
        <x:f>F19/F4</x:f>
        <x:v>0.14092418104211785</x:v>
      </x:c>
      <x:c r="G20" s="44" t="n">
        <x:f>G19/G4</x:f>
        <x:v>0.15164235569810047</x:v>
      </x:c>
    </x:row>
    <x:row r="21">
      <x:c r="A21" t="str">
        <x:v>Stock-Based Compensation</x:v>
      </x:c>
      <x:c r="B21" s="40" t="n">
        <x:v>13.4</x:v>
      </x:c>
      <x:c r="C21" s="40" t="n">
        <x:v>15.7</x:v>
      </x:c>
      <x:c r="D21" s="40" t="n">
        <x:v>19.5</x:v>
      </x:c>
      <x:c r="E21" s="40" t="n">
        <x:v>22.1</x:v>
      </x:c>
      <x:c r="F21" s="40" t="n">
        <x:v>22.8</x:v>
      </x:c>
      <x:c r="G21" s="40" t="n">
        <x:v>27.1</x:v>
      </x:c>
    </x:row>
    <x:row r="22">
      <x:c r="A22" t="str">
        <x:v>SBC / Revenue</x:v>
      </x:c>
      <x:c r="B22" s="44" t="n">
        <x:f>B21/B4</x:f>
        <x:v>0.07341379631506573</x:v>
      </x:c>
      <x:c r="C22" s="44" t="n">
        <x:f>C21/C4</x:f>
        <x:v>0.060938452163315046</x:v>
      </x:c>
      <x:c r="D22" s="44" t="n">
        <x:f>D21/D4</x:f>
        <x:v>0.06894454737020747</x:v>
      </x:c>
      <x:c r="E22" s="44" t="n">
        <x:f>E21/E4</x:f>
        <x:v>0.07189470191350515</x:v>
      </x:c>
      <x:c r="F22" s="44" t="n">
        <x:f>F21/F4</x:f>
        <x:v>0.06513950711106287</x:v>
      </x:c>
      <x:c r="G22" s="44" t="n">
        <x:f>G21/G4</x:f>
        <x:v>0.06727303418760985</x:v>
      </x:c>
    </x:row>
    <x:row r="24">
      <x:c r="A24" s="46" t="str">
        <x:v>Sources</x:v>
      </x:c>
      <x:c r="B24"/>
    </x:row>
    <x:row r="25">
      <x:c r="A25" t="str">
        <x:v>2020–2022 10-K</x:v>
      </x:c>
      <x:c r="B25" s="48" t="str">
        <x:v>https://www.sec.gov/Archives/edgar/data/1652044/000165204423000016/goog-20221231.htm</x:v>
      </x:c>
    </x:row>
    <x:row r="26">
      <x:c r="A26" t="str">
        <x:v>2023 10-K</x:v>
      </x:c>
      <x:c r="B26" s="48" t="str">
        <x:v>https://www.sec.gov/Archives/edgar/data/1652044/000165204424000022/goog-20231231.htm</x:v>
      </x:c>
    </x:row>
    <x:row r="27">
      <x:c r="A27" t="str">
        <x:v>2025 10-K</x:v>
      </x:c>
      <x:c r="B27" s="48" t="str">
        <x:v>https://www.sec.gov/Archives/edgar/data/1652044/000165204426000018/goog-20251231.htm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</x:cols>
  <x:sheetData>
    <x:row r="1" ht="28" customHeight="1">
      <x:c r="A1" s="4" t="str">
        <x:v>Three-Case Scenario Analysis — Full 10-Year Valuation</x:v>
      </x:c>
    </x:row>
    <x:row r="2">
      <x:c r="A2" s="52" t="str">
        <x:v>Yellow cells are editable assumptions. Each case contains complete 2026–2035 operating and valuation data.</x:v>
      </x:c>
    </x:row>
    <x:row r="4">
      <x:c r="A4" s="12" t="str">
        <x:v>Assumption</x:v>
      </x:c>
      <x:c r="B4" s="12" t="str">
        <x:v>Bear</x:v>
      </x:c>
      <x:c r="C4" s="12" t="str">
        <x:v>Base</x:v>
      </x:c>
      <x:c r="D4" s="12" t="str">
        <x:v>Bull</x:v>
      </x:c>
      <x:c r="E4" s="12" t="str">
        <x:v>Notes</x:v>
      </x:c>
    </x:row>
    <x:row r="5">
      <x:c r="A5" t="str">
        <x:v>Probability</x:v>
      </x:c>
      <x:c r="B5" s="58" t="n">
        <x:v>0.25</x:v>
      </x:c>
      <x:c r="C5" s="58" t="n">
        <x:v>0.5</x:v>
      </x:c>
      <x:c r="D5" s="58" t="n">
        <x:v>0.25</x:v>
      </x:c>
      <x:c r="E5" t="str">
        <x:v>Must sum to 100%</x:v>
      </x:c>
    </x:row>
    <x:row r="6">
      <x:c r="A6" t="str">
        <x:v>WACC</x:v>
      </x:c>
      <x:c r="B6" s="58" t="n">
        <x:v>0.105</x:v>
      </x:c>
      <x:c r="C6" s="58" t="n">
        <x:v>0.09</x:v>
      </x:c>
      <x:c r="D6" s="58" t="n">
        <x:v>0.08</x:v>
      </x:c>
      <x:c r="E6" t="str">
        <x:v>Discount rate</x:v>
      </x:c>
    </x:row>
    <x:row r="7">
      <x:c r="A7" t="str">
        <x:v>Terminal Growth</x:v>
      </x:c>
      <x:c r="B7" s="58" t="n">
        <x:v>0.02</x:v>
      </x:c>
      <x:c r="C7" s="58" t="n">
        <x:v>0.03</x:v>
      </x:c>
      <x:c r="D7" s="58" t="n">
        <x:v>0.035</x:v>
      </x:c>
      <x:c r="E7" t="str">
        <x:v>Perpetual growth</x:v>
      </x:c>
    </x:row>
    <x:row r="8">
      <x:c r="A8" t="str">
        <x:v>Tax Rate</x:v>
      </x:c>
      <x:c r="B8" s="58" t="n">
        <x:v>0.21</x:v>
      </x:c>
      <x:c r="C8" s="58" t="n">
        <x:v>0.21</x:v>
      </x:c>
      <x:c r="D8" s="58" t="n">
        <x:v>0.21</x:v>
      </x:c>
      <x:c r="E8" t="str">
        <x:v>Normalized</x:v>
      </x:c>
    </x:row>
    <x:row r="11">
      <x:c r="A11" s="60" t="str">
        <x:v>Bear</x:v>
      </x:c>
      <x:c r="B11" s="62" t="n">
        <x:v>2026</x:v>
      </x:c>
      <x:c r="C11" s="62" t="n">
        <x:v>2027</x:v>
      </x:c>
      <x:c r="D11" s="62" t="n">
        <x:v>2028</x:v>
      </x:c>
      <x:c r="E11" s="62" t="n">
        <x:v>2029</x:v>
      </x:c>
      <x:c r="F11" s="62" t="n">
        <x:v>2030</x:v>
      </x:c>
      <x:c r="G11" s="62" t="n">
        <x:v>2031</x:v>
      </x:c>
      <x:c r="H11" s="62" t="n">
        <x:v>2032</x:v>
      </x:c>
      <x:c r="I11" s="62" t="n">
        <x:v>2033</x:v>
      </x:c>
      <x:c r="J11" s="62" t="n">
        <x:v>2034</x:v>
      </x:c>
      <x:c r="K11" s="62" t="n">
        <x:v>2035</x:v>
      </x:c>
      <x:c r="M11" s="60" t="str">
        <x:v>Base</x:v>
      </x:c>
      <x:c r="N11" s="62" t="n">
        <x:v>2026</x:v>
      </x:c>
      <x:c r="O11" s="62" t="n">
        <x:v>2027</x:v>
      </x:c>
      <x:c r="P11" s="62" t="n">
        <x:v>2028</x:v>
      </x:c>
      <x:c r="Q11" s="62" t="n">
        <x:v>2029</x:v>
      </x:c>
      <x:c r="R11" s="62" t="n">
        <x:v>2030</x:v>
      </x:c>
      <x:c r="S11" s="62" t="n">
        <x:v>2031</x:v>
      </x:c>
      <x:c r="T11" s="62" t="n">
        <x:v>2032</x:v>
      </x:c>
      <x:c r="U11" s="62" t="n">
        <x:v>2033</x:v>
      </x:c>
      <x:c r="V11" s="62" t="n">
        <x:v>2034</x:v>
      </x:c>
      <x:c r="W11" s="62" t="n">
        <x:v>2035</x:v>
      </x:c>
      <x:c r="Y11" s="60" t="str">
        <x:v>Bull</x:v>
      </x:c>
      <x:c r="Z11" s="62" t="n">
        <x:v>2026</x:v>
      </x:c>
      <x:c r="AA11" s="62" t="n">
        <x:v>2027</x:v>
      </x:c>
      <x:c r="AB11" s="62" t="n">
        <x:v>2028</x:v>
      </x:c>
      <x:c r="AC11" s="62" t="n">
        <x:v>2029</x:v>
      </x:c>
      <x:c r="AD11" s="62" t="n">
        <x:v>2030</x:v>
      </x:c>
      <x:c r="AE11" s="62" t="n">
        <x:v>2031</x:v>
      </x:c>
      <x:c r="AF11" s="62" t="n">
        <x:v>2032</x:v>
      </x:c>
      <x:c r="AG11" s="62" t="n">
        <x:v>2033</x:v>
      </x:c>
      <x:c r="AH11" s="62" t="n">
        <x:v>2034</x:v>
      </x:c>
      <x:c r="AI11" s="62" t="n">
        <x:v>2035</x:v>
      </x:c>
    </x:row>
    <x:row r="12">
      <x:c r="A12" s="64" t="str">
        <x:v>Revenue Growth</x:v>
      </x:c>
      <x:c r="B12" s="58" t="n">
        <x:v>0.1</x:v>
      </x:c>
      <x:c r="C12" s="58" t="n">
        <x:v>0.09</x:v>
      </x:c>
      <x:c r="D12" s="58" t="n">
        <x:v>0.08</x:v>
      </x:c>
      <x:c r="E12" s="58" t="n">
        <x:v>0.07</x:v>
      </x:c>
      <x:c r="F12" s="58" t="n">
        <x:v>0.06</x:v>
      </x:c>
      <x:c r="G12" s="58" t="n">
        <x:v>0.05</x:v>
      </x:c>
      <x:c r="H12" s="58" t="n">
        <x:v>0.05</x:v>
      </x:c>
      <x:c r="I12" s="58" t="n">
        <x:v>0.04</x:v>
      </x:c>
      <x:c r="J12" s="58" t="n">
        <x:v>0.04</x:v>
      </x:c>
      <x:c r="K12" s="58" t="n">
        <x:v>0.04</x:v>
      </x:c>
      <x:c r="M12" s="64" t="str">
        <x:v>Revenue Growth</x:v>
      </x:c>
      <x:c r="N12" s="58" t="n">
        <x:v>0.15</x:v>
      </x:c>
      <x:c r="O12" s="58" t="n">
        <x:v>0.14</x:v>
      </x:c>
      <x:c r="P12" s="58" t="n">
        <x:v>0.13</x:v>
      </x:c>
      <x:c r="Q12" s="58" t="n">
        <x:v>0.12</x:v>
      </x:c>
      <x:c r="R12" s="58" t="n">
        <x:v>0.1</x:v>
      </x:c>
      <x:c r="S12" s="58" t="n">
        <x:v>0.09</x:v>
      </x:c>
      <x:c r="T12" s="58" t="n">
        <x:v>0.08</x:v>
      </x:c>
      <x:c r="U12" s="58" t="n">
        <x:v>0.07</x:v>
      </x:c>
      <x:c r="V12" s="58" t="n">
        <x:v>0.06</x:v>
      </x:c>
      <x:c r="W12" s="58" t="n">
        <x:v>0.06</x:v>
      </x:c>
      <x:c r="Y12" s="64" t="str">
        <x:v>Revenue Growth</x:v>
      </x:c>
      <x:c r="Z12" s="58" t="n">
        <x:v>0.18</x:v>
      </x:c>
      <x:c r="AA12" s="58" t="n">
        <x:v>0.17</x:v>
      </x:c>
      <x:c r="AB12" s="58" t="n">
        <x:v>0.16</x:v>
      </x:c>
      <x:c r="AC12" s="58" t="n">
        <x:v>0.15</x:v>
      </x:c>
      <x:c r="AD12" s="58" t="n">
        <x:v>0.14</x:v>
      </x:c>
      <x:c r="AE12" s="58" t="n">
        <x:v>0.12</x:v>
      </x:c>
      <x:c r="AF12" s="58" t="n">
        <x:v>0.11</x:v>
      </x:c>
      <x:c r="AG12" s="58" t="n">
        <x:v>0.1</x:v>
      </x:c>
      <x:c r="AH12" s="58" t="n">
        <x:v>0.09</x:v>
      </x:c>
      <x:c r="AI12" s="58" t="n">
        <x:v>0.08</x:v>
      </x:c>
    </x:row>
    <x:row r="13">
      <x:c r="A13" s="64" t="str">
        <x:v>Revenue</x:v>
      </x:c>
      <x:c r="B13" s="68" t="n">
        <x:f>'Historical Financials'!G4*(1+B12)</x:f>
        <x:v>443.11960000000005</x:v>
      </x:c>
      <x:c r="C13" s="20" t="n">
        <x:f>B13*(1+C12)</x:f>
        <x:v>483.0003640000001</x:v>
      </x:c>
      <x:c r="D13" s="20" t="n">
        <x:f>C13*(1+D12)</x:f>
        <x:v>521.6403931200001</x:v>
      </x:c>
      <x:c r="E13" s="20" t="n">
        <x:f>D13*(1+E12)</x:f>
        <x:v>558.1552206384001</x:v>
      </x:c>
      <x:c r="F13" s="20" t="n">
        <x:f>E13*(1+F12)</x:f>
        <x:v>591.6445338767041</x:v>
      </x:c>
      <x:c r="G13" s="20" t="n">
        <x:f>F13*(1+G12)</x:f>
        <x:v>621.2267605705393</x:v>
      </x:c>
      <x:c r="H13" s="20" t="n">
        <x:f>G13*(1+H12)</x:f>
        <x:v>652.2880985990663</x:v>
      </x:c>
      <x:c r="I13" s="20" t="n">
        <x:f>H13*(1+I12)</x:f>
        <x:v>678.379622543029</x:v>
      </x:c>
      <x:c r="J13" s="20" t="n">
        <x:f>I13*(1+J12)</x:f>
        <x:v>705.5148074447502</x:v>
      </x:c>
      <x:c r="K13" s="20" t="n">
        <x:f>J13*(1+K12)</x:f>
        <x:v>733.7353997425403</x:v>
      </x:c>
      <x:c r="M13" s="64" t="str">
        <x:v>Revenue</x:v>
      </x:c>
      <x:c r="N13" s="68" t="n">
        <x:f>'Historical Financials'!G4*(1+N12)</x:f>
        <x:v>463.2614</x:v>
      </x:c>
      <x:c r="O13" s="20" t="n">
        <x:f>N13*(1+O12)</x:f>
        <x:v>528.1179960000001</x:v>
      </x:c>
      <x:c r="P13" s="20" t="n">
        <x:f>O13*(1+P12)</x:f>
        <x:v>596.77333548</x:v>
      </x:c>
      <x:c r="Q13" s="20" t="n">
        <x:f>P13*(1+Q12)</x:f>
        <x:v>668.3861357376001</x:v>
      </x:c>
      <x:c r="R13" s="20" t="n">
        <x:f>Q13*(1+R12)</x:f>
        <x:v>735.2247493113601</x:v>
      </x:c>
      <x:c r="S13" s="20" t="n">
        <x:f>R13*(1+S12)</x:f>
        <x:v>801.3949767493826</x:v>
      </x:c>
      <x:c r="T13" s="20" t="n">
        <x:f>S13*(1+T12)</x:f>
        <x:v>865.5065748893333</x:v>
      </x:c>
      <x:c r="U13" s="20" t="n">
        <x:f>T13*(1+U12)</x:f>
        <x:v>926.0920351315866</x:v>
      </x:c>
      <x:c r="V13" s="20" t="n">
        <x:f>U13*(1+V12)</x:f>
        <x:v>981.6575572394819</x:v>
      </x:c>
      <x:c r="W13" s="20" t="n">
        <x:f>V13*(1+W12)</x:f>
        <x:v>1040.5570106738508</x:v>
      </x:c>
      <x:c r="Y13" s="64" t="str">
        <x:v>Revenue</x:v>
      </x:c>
      <x:c r="Z13" s="68" t="n">
        <x:f>'Historical Financials'!G4*(1+Z12)</x:f>
        <x:v>475.34648</x:v>
      </x:c>
      <x:c r="AA13" s="20" t="n">
        <x:f>Z13*(1+AA12)</x:f>
        <x:v>556.1553815999999</x:v>
      </x:c>
      <x:c r="AB13" s="20" t="n">
        <x:f>AA13*(1+AB12)</x:f>
        <x:v>645.1402426559999</x:v>
      </x:c>
      <x:c r="AC13" s="20" t="n">
        <x:f>AB13*(1+AC12)</x:f>
        <x:v>741.9112790543999</x:v>
      </x:c>
      <x:c r="AD13" s="20" t="n">
        <x:f>AC13*(1+AD12)</x:f>
        <x:v>845.7788581220159</x:v>
      </x:c>
      <x:c r="AE13" s="20" t="n">
        <x:f>AD13*(1+AE12)</x:f>
        <x:v>947.2723210966578</x:v>
      </x:c>
      <x:c r="AF13" s="20" t="n">
        <x:f>AE13*(1+AF12)</x:f>
        <x:v>1051.4722764172902</x:v>
      </x:c>
      <x:c r="AG13" s="20" t="n">
        <x:f>AF13*(1+AG12)</x:f>
        <x:v>1156.6195040590194</x:v>
      </x:c>
      <x:c r="AH13" s="20" t="n">
        <x:f>AG13*(1+AH12)</x:f>
        <x:v>1260.7152594243312</x:v>
      </x:c>
      <x:c r="AI13" s="20" t="n">
        <x:f>AH13*(1+AI12)</x:f>
        <x:v>1361.5724801782778</x:v>
      </x:c>
    </x:row>
    <x:row r="14">
      <x:c r="A14" s="64" t="str">
        <x:v>EBIT Margin</x:v>
      </x:c>
      <x:c r="B14" s="58" t="n">
        <x:v>0.3</x:v>
      </x:c>
      <x:c r="C14" s="58" t="n">
        <x:v>0.3</x:v>
      </x:c>
      <x:c r="D14" s="58" t="n">
        <x:v>0.3</x:v>
      </x:c>
      <x:c r="E14" s="58" t="n">
        <x:v>0.295</x:v>
      </x:c>
      <x:c r="F14" s="58" t="n">
        <x:v>0.29</x:v>
      </x:c>
      <x:c r="G14" s="58" t="n">
        <x:v>0.29</x:v>
      </x:c>
      <x:c r="H14" s="58" t="n">
        <x:v>0.285</x:v>
      </x:c>
      <x:c r="I14" s="58" t="n">
        <x:v>0.285</x:v>
      </x:c>
      <x:c r="J14" s="58" t="n">
        <x:v>0.28</x:v>
      </x:c>
      <x:c r="K14" s="58" t="n">
        <x:v>0.28</x:v>
      </x:c>
      <x:c r="M14" s="64" t="str">
        <x:v>EBIT Margin</x:v>
      </x:c>
      <x:c r="N14" s="58" t="n">
        <x:v>0.32</x:v>
      </x:c>
      <x:c r="O14" s="58" t="n">
        <x:v>0.32</x:v>
      </x:c>
      <x:c r="P14" s="58" t="n">
        <x:v>0.325</x:v>
      </x:c>
      <x:c r="Q14" s="58" t="n">
        <x:v>0.325</x:v>
      </x:c>
      <x:c r="R14" s="58" t="n">
        <x:v>0.33</x:v>
      </x:c>
      <x:c r="S14" s="58" t="n">
        <x:v>0.33</x:v>
      </x:c>
      <x:c r="T14" s="58" t="n">
        <x:v>0.33</x:v>
      </x:c>
      <x:c r="U14" s="58" t="n">
        <x:v>0.33</x:v>
      </x:c>
      <x:c r="V14" s="58" t="n">
        <x:v>0.33</x:v>
      </x:c>
      <x:c r="W14" s="58" t="n">
        <x:v>0.33</x:v>
      </x:c>
      <x:c r="Y14" s="64" t="str">
        <x:v>EBIT Margin</x:v>
      </x:c>
      <x:c r="Z14" s="58" t="n">
        <x:v>0.33</x:v>
      </x:c>
      <x:c r="AA14" s="58" t="n">
        <x:v>0.335</x:v>
      </x:c>
      <x:c r="AB14" s="58" t="n">
        <x:v>0.34</x:v>
      </x:c>
      <x:c r="AC14" s="58" t="n">
        <x:v>0.345</x:v>
      </x:c>
      <x:c r="AD14" s="58" t="n">
        <x:v>0.35</x:v>
      </x:c>
      <x:c r="AE14" s="58" t="n">
        <x:v>0.35</x:v>
      </x:c>
      <x:c r="AF14" s="58" t="n">
        <x:v>0.355</x:v>
      </x:c>
      <x:c r="AG14" s="58" t="n">
        <x:v>0.355</x:v>
      </x:c>
      <x:c r="AH14" s="58" t="n">
        <x:v>0.36</x:v>
      </x:c>
      <x:c r="AI14" s="58" t="n">
        <x:v>0.36</x:v>
      </x:c>
    </x:row>
    <x:row r="15">
      <x:c r="A15" s="64" t="str">
        <x:v>EBIT</x:v>
      </x:c>
      <x:c r="B15" s="20" t="n">
        <x:f>B13*B14</x:f>
        <x:v>132.93588</x:v>
      </x:c>
      <x:c r="C15" s="20" t="n">
        <x:f>C13*C14</x:f>
        <x:v>144.90010920000003</x:v>
      </x:c>
      <x:c r="D15" s="20" t="n">
        <x:f>D13*D14</x:f>
        <x:v>156.49211793600003</x:v>
      </x:c>
      <x:c r="E15" s="20" t="n">
        <x:f>E13*E14</x:f>
        <x:v>164.65579008832802</x:v>
      </x:c>
      <x:c r="F15" s="20" t="n">
        <x:f>F13*F14</x:f>
        <x:v>171.5769148242442</x:v>
      </x:c>
      <x:c r="G15" s="20" t="n">
        <x:f>G13*G14</x:f>
        <x:v>180.1557605654564</x:v>
      </x:c>
      <x:c r="H15" s="20" t="n">
        <x:f>H13*H14</x:f>
        <x:v>185.90210810073387</x:v>
      </x:c>
      <x:c r="I15" s="20" t="n">
        <x:f>I13*I14</x:f>
        <x:v>193.33819242476324</x:v>
      </x:c>
      <x:c r="J15" s="20" t="n">
        <x:f>J13*J14</x:f>
        <x:v>197.54414608453007</x:v>
      </x:c>
      <x:c r="K15" s="20" t="n">
        <x:f>K13*K14</x:f>
        <x:v>205.44591192791128</x:v>
      </x:c>
      <x:c r="M15" s="64" t="str">
        <x:v>EBIT</x:v>
      </x:c>
      <x:c r="N15" s="20" t="n">
        <x:f>N13*N14</x:f>
        <x:v>148.243648</x:v>
      </x:c>
      <x:c r="O15" s="20" t="n">
        <x:f>O13*O14</x:f>
        <x:v>168.99775872000004</x:v>
      </x:c>
      <x:c r="P15" s="20" t="n">
        <x:f>P13*P14</x:f>
        <x:v>193.95133403100002</x:v>
      </x:c>
      <x:c r="Q15" s="20" t="n">
        <x:f>Q13*Q14</x:f>
        <x:v>217.22549411472002</x:v>
      </x:c>
      <x:c r="R15" s="20" t="n">
        <x:f>R13*R14</x:f>
        <x:v>242.62416727274885</x:v>
      </x:c>
      <x:c r="S15" s="20" t="n">
        <x:f>S13*S14</x:f>
        <x:v>264.4603423272963</x:v>
      </x:c>
      <x:c r="T15" s="20" t="n">
        <x:f>T13*T14</x:f>
        <x:v>285.61716971348</x:v>
      </x:c>
      <x:c r="U15" s="20" t="n">
        <x:f>U13*U14</x:f>
        <x:v>305.6103715934236</x:v>
      </x:c>
      <x:c r="V15" s="20" t="n">
        <x:f>V13*V14</x:f>
        <x:v>323.94699388902905</x:v>
      </x:c>
      <x:c r="W15" s="20" t="n">
        <x:f>W13*W14</x:f>
        <x:v>343.38381352237076</x:v>
      </x:c>
      <x:c r="Y15" s="64" t="str">
        <x:v>EBIT</x:v>
      </x:c>
      <x:c r="Z15" s="20" t="n">
        <x:f>Z13*Z14</x:f>
        <x:v>156.8643384</x:v>
      </x:c>
      <x:c r="AA15" s="20" t="n">
        <x:f>AA13*AA14</x:f>
        <x:v>186.312052836</x:v>
      </x:c>
      <x:c r="AB15" s="20" t="n">
        <x:f>AB13*AB14</x:f>
        <x:v>219.34768250304</x:v>
      </x:c>
      <x:c r="AC15" s="20" t="n">
        <x:f>AC13*AC14</x:f>
        <x:v>255.95939127376795</x:v>
      </x:c>
      <x:c r="AD15" s="20" t="n">
        <x:f>AD13*AD14</x:f>
        <x:v>296.0226003427055</x:v>
      </x:c>
      <x:c r="AE15" s="20" t="n">
        <x:f>AE13*AE14</x:f>
        <x:v>331.5453123838302</x:v>
      </x:c>
      <x:c r="AF15" s="20" t="n">
        <x:f>AF13*AF14</x:f>
        <x:v>373.272658128138</x:v>
      </x:c>
      <x:c r="AG15" s="20" t="n">
        <x:f>AG13*AG14</x:f>
        <x:v>410.59992394095184</x:v>
      </x:c>
      <x:c r="AH15" s="20" t="n">
        <x:f>AH13*AH14</x:f>
        <x:v>453.8574933927592</x:v>
      </x:c>
      <x:c r="AI15" s="20" t="n">
        <x:f>AI13*AI14</x:f>
        <x:v>490.16609286418</x:v>
      </x:c>
    </x:row>
    <x:row r="16">
      <x:c r="A16" s="64" t="str">
        <x:v>Tax Rate</x:v>
      </x:c>
      <x:c r="B16" s="38" t="n">
        <x:f>$B$8</x:f>
        <x:v>0.21</x:v>
      </x:c>
      <x:c r="C16" s="38" t="n">
        <x:f>$B$8</x:f>
        <x:v>0.21</x:v>
      </x:c>
      <x:c r="D16" s="38" t="n">
        <x:f>$B$8</x:f>
        <x:v>0.21</x:v>
      </x:c>
      <x:c r="E16" s="38" t="n">
        <x:f>$B$8</x:f>
        <x:v>0.21</x:v>
      </x:c>
      <x:c r="F16" s="38" t="n">
        <x:f>$B$8</x:f>
        <x:v>0.21</x:v>
      </x:c>
      <x:c r="G16" s="38" t="n">
        <x:f>$B$8</x:f>
        <x:v>0.21</x:v>
      </x:c>
      <x:c r="H16" s="38" t="n">
        <x:f>$B$8</x:f>
        <x:v>0.21</x:v>
      </x:c>
      <x:c r="I16" s="38" t="n">
        <x:f>$B$8</x:f>
        <x:v>0.21</x:v>
      </x:c>
      <x:c r="J16" s="38" t="n">
        <x:f>$B$8</x:f>
        <x:v>0.21</x:v>
      </x:c>
      <x:c r="K16" s="38" t="n">
        <x:f>$B$8</x:f>
        <x:v>0.21</x:v>
      </x:c>
      <x:c r="M16" s="64" t="str">
        <x:v>Tax Rate</x:v>
      </x:c>
      <x:c r="N16" s="38" t="n">
        <x:f>$C$8</x:f>
        <x:v>0.21</x:v>
      </x:c>
      <x:c r="O16" s="38" t="n">
        <x:f>$C$8</x:f>
        <x:v>0.21</x:v>
      </x:c>
      <x:c r="P16" s="38" t="n">
        <x:f>$C$8</x:f>
        <x:v>0.21</x:v>
      </x:c>
      <x:c r="Q16" s="38" t="n">
        <x:f>$C$8</x:f>
        <x:v>0.21</x:v>
      </x:c>
      <x:c r="R16" s="38" t="n">
        <x:f>$C$8</x:f>
        <x:v>0.21</x:v>
      </x:c>
      <x:c r="S16" s="38" t="n">
        <x:f>$C$8</x:f>
        <x:v>0.21</x:v>
      </x:c>
      <x:c r="T16" s="38" t="n">
        <x:f>$C$8</x:f>
        <x:v>0.21</x:v>
      </x:c>
      <x:c r="U16" s="38" t="n">
        <x:f>$C$8</x:f>
        <x:v>0.21</x:v>
      </x:c>
      <x:c r="V16" s="38" t="n">
        <x:f>$C$8</x:f>
        <x:v>0.21</x:v>
      </x:c>
      <x:c r="W16" s="38" t="n">
        <x:f>$C$8</x:f>
        <x:v>0.21</x:v>
      </x:c>
      <x:c r="Y16" s="64" t="str">
        <x:v>Tax Rate</x:v>
      </x:c>
      <x:c r="Z16" s="38" t="n">
        <x:f>$D$8</x:f>
        <x:v>0.21</x:v>
      </x:c>
      <x:c r="AA16" s="38" t="n">
        <x:f>$D$8</x:f>
        <x:v>0.21</x:v>
      </x:c>
      <x:c r="AB16" s="38" t="n">
        <x:f>$D$8</x:f>
        <x:v>0.21</x:v>
      </x:c>
      <x:c r="AC16" s="38" t="n">
        <x:f>$D$8</x:f>
        <x:v>0.21</x:v>
      </x:c>
      <x:c r="AD16" s="38" t="n">
        <x:f>$D$8</x:f>
        <x:v>0.21</x:v>
      </x:c>
      <x:c r="AE16" s="38" t="n">
        <x:f>$D$8</x:f>
        <x:v>0.21</x:v>
      </x:c>
      <x:c r="AF16" s="38" t="n">
        <x:f>$D$8</x:f>
        <x:v>0.21</x:v>
      </x:c>
      <x:c r="AG16" s="38" t="n">
        <x:f>$D$8</x:f>
        <x:v>0.21</x:v>
      </x:c>
      <x:c r="AH16" s="38" t="n">
        <x:f>$D$8</x:f>
        <x:v>0.21</x:v>
      </x:c>
      <x:c r="AI16" s="38" t="n">
        <x:f>$D$8</x:f>
        <x:v>0.21</x:v>
      </x:c>
    </x:row>
    <x:row r="17">
      <x:c r="A17" s="64" t="str">
        <x:v>NOPAT</x:v>
      </x:c>
      <x:c r="B17" s="20" t="n">
        <x:f>B15*(1-B16)</x:f>
        <x:v>105.0193452</x:v>
      </x:c>
      <x:c r="C17" s="20" t="n">
        <x:f>C15*(1-C16)</x:f>
        <x:v>114.47108626800004</x:v>
      </x:c>
      <x:c r="D17" s="20" t="n">
        <x:f>D15*(1-D16)</x:f>
        <x:v>123.62877316944002</x:v>
      </x:c>
      <x:c r="E17" s="20" t="n">
        <x:f>E15*(1-E16)</x:f>
        <x:v>130.07807416977914</x:v>
      </x:c>
      <x:c r="F17" s="20" t="n">
        <x:f>F15*(1-F16)</x:f>
        <x:v>135.54576271115292</x:v>
      </x:c>
      <x:c r="G17" s="20" t="n">
        <x:f>G15*(1-G16)</x:f>
        <x:v>142.32305084671057</x:v>
      </x:c>
      <x:c r="H17" s="20" t="n">
        <x:f>H15*(1-H16)</x:f>
        <x:v>146.86266539957975</x:v>
      </x:c>
      <x:c r="I17" s="20" t="n">
        <x:f>I15*(1-I16)</x:f>
        <x:v>152.73717201556298</x:v>
      </x:c>
      <x:c r="J17" s="20" t="n">
        <x:f>J15*(1-J16)</x:f>
        <x:v>156.05987540677876</x:v>
      </x:c>
      <x:c r="K17" s="20" t="n">
        <x:f>K15*(1-K16)</x:f>
        <x:v>162.30227042304992</x:v>
      </x:c>
      <x:c r="M17" s="64" t="str">
        <x:v>NOPAT</x:v>
      </x:c>
      <x:c r="N17" s="20" t="n">
        <x:f>N15*(1-N16)</x:f>
        <x:v>117.11248192000001</x:v>
      </x:c>
      <x:c r="O17" s="20" t="n">
        <x:f>O15*(1-O16)</x:f>
        <x:v>133.50822938880003</x:v>
      </x:c>
      <x:c r="P17" s="20" t="n">
        <x:f>P15*(1-P16)</x:f>
        <x:v>153.22155388449002</x:v>
      </x:c>
      <x:c r="Q17" s="20" t="n">
        <x:f>Q15*(1-Q16)</x:f>
        <x:v>171.60814035062882</x:v>
      </x:c>
      <x:c r="R17" s="20" t="n">
        <x:f>R15*(1-R16)</x:f>
        <x:v>191.6730921454716</x:v>
      </x:c>
      <x:c r="S17" s="20" t="n">
        <x:f>S15*(1-S16)</x:f>
        <x:v>208.9236704385641</x:v>
      </x:c>
      <x:c r="T17" s="20" t="n">
        <x:f>T15*(1-T16)</x:f>
        <x:v>225.6375640736492</x:v>
      </x:c>
      <x:c r="U17" s="20" t="n">
        <x:f>U15*(1-U16)</x:f>
        <x:v>241.43219355880467</x:v>
      </x:c>
      <x:c r="V17" s="20" t="n">
        <x:f>V15*(1-V16)</x:f>
        <x:v>255.91812517233296</x:v>
      </x:c>
      <x:c r="W17" s="20" t="n">
        <x:f>W15*(1-W16)</x:f>
        <x:v>271.2732126826729</x:v>
      </x:c>
      <x:c r="Y17" s="64" t="str">
        <x:v>NOPAT</x:v>
      </x:c>
      <x:c r="Z17" s="20" t="n">
        <x:f>Z15*(1-Z16)</x:f>
        <x:v>123.92282733600001</x:v>
      </x:c>
      <x:c r="AA17" s="20" t="n">
        <x:f>AA15*(1-AA16)</x:f>
        <x:v>147.18652174044</x:v>
      </x:c>
      <x:c r="AB17" s="20" t="n">
        <x:f>AB15*(1-AB16)</x:f>
        <x:v>173.2846691774016</x:v>
      </x:c>
      <x:c r="AC17" s="20" t="n">
        <x:f>AC15*(1-AC16)</x:f>
        <x:v>202.20791910627668</x:v>
      </x:c>
      <x:c r="AD17" s="20" t="n">
        <x:f>AD15*(1-AD16)</x:f>
        <x:v>233.85785427073736</x:v>
      </x:c>
      <x:c r="AE17" s="20" t="n">
        <x:f>AE15*(1-AE16)</x:f>
        <x:v>261.92079678322585</x:v>
      </x:c>
      <x:c r="AF17" s="20" t="n">
        <x:f>AF15*(1-AF16)</x:f>
        <x:v>294.885399921229</x:v>
      </x:c>
      <x:c r="AG17" s="20" t="n">
        <x:f>AG15*(1-AG16)</x:f>
        <x:v>324.373939913352</x:v>
      </x:c>
      <x:c r="AH17" s="20" t="n">
        <x:f>AH15*(1-AH16)</x:f>
        <x:v>358.54741978027977</x:v>
      </x:c>
      <x:c r="AI17" s="20" t="n">
        <x:f>AI15*(1-AI16)</x:f>
        <x:v>387.2312133627022</x:v>
      </x:c>
    </x:row>
    <x:row r="18">
      <x:c r="A18" s="64" t="str">
        <x:v>D&amp;A % Revenue</x:v>
      </x:c>
      <x:c r="B18" s="58" t="n">
        <x:v>0.052</x:v>
      </x:c>
      <x:c r="C18" s="58" t="n">
        <x:v>0.052</x:v>
      </x:c>
      <x:c r="D18" s="58" t="n">
        <x:v>0.051</x:v>
      </x:c>
      <x:c r="E18" s="58" t="n">
        <x:v>0.05</x:v>
      </x:c>
      <x:c r="F18" s="58" t="n">
        <x:v>0.05</x:v>
      </x:c>
      <x:c r="G18" s="58" t="n">
        <x:v>0.05</x:v>
      </x:c>
      <x:c r="H18" s="58" t="n">
        <x:v>0.05</x:v>
      </x:c>
      <x:c r="I18" s="58" t="n">
        <x:v>0.05</x:v>
      </x:c>
      <x:c r="J18" s="58" t="n">
        <x:v>0.05</x:v>
      </x:c>
      <x:c r="K18" s="58" t="n">
        <x:v>0.05</x:v>
      </x:c>
      <x:c r="M18" s="64" t="str">
        <x:v>D&amp;A % Revenue</x:v>
      </x:c>
      <x:c r="N18" s="58" t="n">
        <x:v>0.052</x:v>
      </x:c>
      <x:c r="O18" s="58" t="n">
        <x:v>0.052</x:v>
      </x:c>
      <x:c r="P18" s="58" t="n">
        <x:v>0.051</x:v>
      </x:c>
      <x:c r="Q18" s="58" t="n">
        <x:v>0.05</x:v>
      </x:c>
      <x:c r="R18" s="58" t="n">
        <x:v>0.05</x:v>
      </x:c>
      <x:c r="S18" s="58" t="n">
        <x:v>0.05</x:v>
      </x:c>
      <x:c r="T18" s="58" t="n">
        <x:v>0.05</x:v>
      </x:c>
      <x:c r="U18" s="58" t="n">
        <x:v>0.05</x:v>
      </x:c>
      <x:c r="V18" s="58" t="n">
        <x:v>0.05</x:v>
      </x:c>
      <x:c r="W18" s="58" t="n">
        <x:v>0.05</x:v>
      </x:c>
      <x:c r="Y18" s="64" t="str">
        <x:v>D&amp;A % Revenue</x:v>
      </x:c>
      <x:c r="Z18" s="58" t="n">
        <x:v>0.052</x:v>
      </x:c>
      <x:c r="AA18" s="58" t="n">
        <x:v>0.052</x:v>
      </x:c>
      <x:c r="AB18" s="58" t="n">
        <x:v>0.051</x:v>
      </x:c>
      <x:c r="AC18" s="58" t="n">
        <x:v>0.05</x:v>
      </x:c>
      <x:c r="AD18" s="58" t="n">
        <x:v>0.05</x:v>
      </x:c>
      <x:c r="AE18" s="58" t="n">
        <x:v>0.05</x:v>
      </x:c>
      <x:c r="AF18" s="58" t="n">
        <x:v>0.05</x:v>
      </x:c>
      <x:c r="AG18" s="58" t="n">
        <x:v>0.05</x:v>
      </x:c>
      <x:c r="AH18" s="58" t="n">
        <x:v>0.05</x:v>
      </x:c>
      <x:c r="AI18" s="58" t="n">
        <x:v>0.05</x:v>
      </x:c>
    </x:row>
    <x:row r="19">
      <x:c r="A19" s="64" t="str">
        <x:v>D&amp;A</x:v>
      </x:c>
      <x:c r="B19" s="20" t="n">
        <x:f>B13*B18</x:f>
        <x:v>23.0422192</x:v>
      </x:c>
      <x:c r="C19" s="20" t="n">
        <x:f>C13*C18</x:f>
        <x:v>25.116018928000003</x:v>
      </x:c>
      <x:c r="D19" s="20" t="n">
        <x:f>D13*D18</x:f>
        <x:v>26.603660049120005</x:v>
      </x:c>
      <x:c r="E19" s="20" t="n">
        <x:f>E13*E18</x:f>
        <x:v>27.907761031920007</x:v>
      </x:c>
      <x:c r="F19" s="20" t="n">
        <x:f>F13*F18</x:f>
        <x:v>29.58222669383521</x:v>
      </x:c>
      <x:c r="G19" s="20" t="n">
        <x:f>G13*G18</x:f>
        <x:v>31.06133802852697</x:v>
      </x:c>
      <x:c r="H19" s="20" t="n">
        <x:f>H13*H18</x:f>
        <x:v>32.61440492995332</x:v>
      </x:c>
      <x:c r="I19" s="20" t="n">
        <x:f>I13*I18</x:f>
        <x:v>33.91898112715145</x:v>
      </x:c>
      <x:c r="J19" s="20" t="n">
        <x:f>J13*J18</x:f>
        <x:v>35.275740372237514</x:v>
      </x:c>
      <x:c r="K19" s="20" t="n">
        <x:f>K13*K18</x:f>
        <x:v>36.686769987127015</x:v>
      </x:c>
      <x:c r="M19" s="64" t="str">
        <x:v>D&amp;A</x:v>
      </x:c>
      <x:c r="N19" s="20" t="n">
        <x:f>N13*N18</x:f>
        <x:v>24.0895928</x:v>
      </x:c>
      <x:c r="O19" s="20" t="n">
        <x:f>O13*O18</x:f>
        <x:v>27.462135792</x:v>
      </x:c>
      <x:c r="P19" s="20" t="n">
        <x:f>P13*P18</x:f>
        <x:v>30.43544010948</x:v>
      </x:c>
      <x:c r="Q19" s="20" t="n">
        <x:f>Q13*Q18</x:f>
        <x:v>33.41930678688001</x:v>
      </x:c>
      <x:c r="R19" s="20" t="n">
        <x:f>R13*R18</x:f>
        <x:v>36.76123746556801</x:v>
      </x:c>
      <x:c r="S19" s="20" t="n">
        <x:f>S13*S18</x:f>
        <x:v>40.069748837469135</x:v>
      </x:c>
      <x:c r="T19" s="20" t="n">
        <x:f>T13*T18</x:f>
        <x:v>43.27532874446666</x:v>
      </x:c>
      <x:c r="U19" s="20" t="n">
        <x:f>U13*U18</x:f>
        <x:v>46.30460175657933</x:v>
      </x:c>
      <x:c r="V19" s="20" t="n">
        <x:f>V13*V18</x:f>
        <x:v>49.0828778619741</x:v>
      </x:c>
      <x:c r="W19" s="20" t="n">
        <x:f>W13*W18</x:f>
        <x:v>52.02785053369254</x:v>
      </x:c>
      <x:c r="Y19" s="64" t="str">
        <x:v>D&amp;A</x:v>
      </x:c>
      <x:c r="Z19" s="20" t="n">
        <x:f>Z13*Z18</x:f>
        <x:v>24.718016959999996</x:v>
      </x:c>
      <x:c r="AA19" s="20" t="n">
        <x:f>AA13*AA18</x:f>
        <x:v>28.920079843199996</x:v>
      </x:c>
      <x:c r="AB19" s="20" t="n">
        <x:f>AB13*AB18</x:f>
        <x:v>32.902152375456</x:v>
      </x:c>
      <x:c r="AC19" s="20" t="n">
        <x:f>AC13*AC18</x:f>
        <x:v>37.09556395271999</x:v>
      </x:c>
      <x:c r="AD19" s="20" t="n">
        <x:f>AD13*AD18</x:f>
        <x:v>42.2889429061008</x:v>
      </x:c>
      <x:c r="AE19" s="20" t="n">
        <x:f>AE13*AE18</x:f>
        <x:v>47.363616054832896</x:v>
      </x:c>
      <x:c r="AF19" s="20" t="n">
        <x:f>AF13*AF18</x:f>
        <x:v>52.573613820864516</x:v>
      </x:c>
      <x:c r="AG19" s="20" t="n">
        <x:f>AG13*AG18</x:f>
        <x:v>57.830975202950974</x:v>
      </x:c>
      <x:c r="AH19" s="20" t="n">
        <x:f>AH13*AH18</x:f>
        <x:v>63.03576297121656</x:v>
      </x:c>
      <x:c r="AI19" s="20" t="n">
        <x:f>AI13*AI18</x:f>
        <x:v>68.07862400891389</x:v>
      </x:c>
    </x:row>
    <x:row r="20">
      <x:c r="A20" s="64" t="str">
        <x:v>Capex % Revenue</x:v>
      </x:c>
      <x:c r="B20" s="58" t="n">
        <x:v>0.32</x:v>
      </x:c>
      <x:c r="C20" s="58" t="n">
        <x:v>0.3</x:v>
      </x:c>
      <x:c r="D20" s="58" t="n">
        <x:v>0.27</x:v>
      </x:c>
      <x:c r="E20" s="58" t="n">
        <x:v>0.24</x:v>
      </x:c>
      <x:c r="F20" s="58" t="n">
        <x:v>0.22</x:v>
      </x:c>
      <x:c r="G20" s="58" t="n">
        <x:v>0.2</x:v>
      </x:c>
      <x:c r="H20" s="58" t="n">
        <x:v>0.19</x:v>
      </x:c>
      <x:c r="I20" s="58" t="n">
        <x:v>0.18</x:v>
      </x:c>
      <x:c r="J20" s="58" t="n">
        <x:v>0.17</x:v>
      </x:c>
      <x:c r="K20" s="58" t="n">
        <x:v>0.16</x:v>
      </x:c>
      <x:c r="M20" s="64" t="str">
        <x:v>Capex % Revenue</x:v>
      </x:c>
      <x:c r="N20" s="58" t="n">
        <x:v>0.28</x:v>
      </x:c>
      <x:c r="O20" s="58" t="n">
        <x:v>0.26</x:v>
      </x:c>
      <x:c r="P20" s="58" t="n">
        <x:v>0.23</x:v>
      </x:c>
      <x:c r="Q20" s="58" t="n">
        <x:v>0.21</x:v>
      </x:c>
      <x:c r="R20" s="58" t="n">
        <x:v>0.19</x:v>
      </x:c>
      <x:c r="S20" s="58" t="n">
        <x:v>0.17</x:v>
      </x:c>
      <x:c r="T20" s="58" t="n">
        <x:v>0.16</x:v>
      </x:c>
      <x:c r="U20" s="58" t="n">
        <x:v>0.15</x:v>
      </x:c>
      <x:c r="V20" s="58" t="n">
        <x:v>0.14</x:v>
      </x:c>
      <x:c r="W20" s="58" t="n">
        <x:v>0.13</x:v>
      </x:c>
      <x:c r="Y20" s="64" t="str">
        <x:v>Capex % Revenue</x:v>
      </x:c>
      <x:c r="Z20" s="58" t="n">
        <x:v>0.26</x:v>
      </x:c>
      <x:c r="AA20" s="58" t="n">
        <x:v>0.24</x:v>
      </x:c>
      <x:c r="AB20" s="58" t="n">
        <x:v>0.21</x:v>
      </x:c>
      <x:c r="AC20" s="58" t="n">
        <x:v>0.19</x:v>
      </x:c>
      <x:c r="AD20" s="58" t="n">
        <x:v>0.17</x:v>
      </x:c>
      <x:c r="AE20" s="58" t="n">
        <x:v>0.15</x:v>
      </x:c>
      <x:c r="AF20" s="58" t="n">
        <x:v>0.14</x:v>
      </x:c>
      <x:c r="AG20" s="58" t="n">
        <x:v>0.13</x:v>
      </x:c>
      <x:c r="AH20" s="58" t="n">
        <x:v>0.12</x:v>
      </x:c>
      <x:c r="AI20" s="58" t="n">
        <x:v>0.12</x:v>
      </x:c>
    </x:row>
    <x:row r="21">
      <x:c r="A21" s="64" t="str">
        <x:v>Capex</x:v>
      </x:c>
      <x:c r="B21" s="20" t="n">
        <x:f>B13*B20</x:f>
        <x:v>141.79827200000003</x:v>
      </x:c>
      <x:c r="C21" s="20" t="n">
        <x:f>C13*C20</x:f>
        <x:v>144.90010920000003</x:v>
      </x:c>
      <x:c r="D21" s="20" t="n">
        <x:f>D13*D20</x:f>
        <x:v>140.84290614240004</x:v>
      </x:c>
      <x:c r="E21" s="20" t="n">
        <x:f>E13*E20</x:f>
        <x:v>133.95725295321603</x:v>
      </x:c>
      <x:c r="F21" s="20" t="n">
        <x:f>F13*F20</x:f>
        <x:v>130.1617974528749</x:v>
      </x:c>
      <x:c r="G21" s="20" t="n">
        <x:f>G13*G20</x:f>
        <x:v>124.24535211410787</x:v>
      </x:c>
      <x:c r="H21" s="20" t="n">
        <x:f>H13*H20</x:f>
        <x:v>123.9347387338226</x:v>
      </x:c>
      <x:c r="I21" s="20" t="n">
        <x:f>I13*I20</x:f>
        <x:v>122.10833205774522</x:v>
      </x:c>
      <x:c r="J21" s="20" t="n">
        <x:f>J13*J20</x:f>
        <x:v>119.93751726560754</x:v>
      </x:c>
      <x:c r="K21" s="20" t="n">
        <x:f>K13*K20</x:f>
        <x:v>117.39766395880645</x:v>
      </x:c>
      <x:c r="M21" s="64" t="str">
        <x:v>Capex</x:v>
      </x:c>
      <x:c r="N21" s="20" t="n">
        <x:f>N13*N20</x:f>
        <x:v>129.71319200000002</x:v>
      </x:c>
      <x:c r="O21" s="20" t="n">
        <x:f>O13*O20</x:f>
        <x:v>137.31067896000002</x:v>
      </x:c>
      <x:c r="P21" s="20" t="n">
        <x:f>P13*P20</x:f>
        <x:v>137.2578671604</x:v>
      </x:c>
      <x:c r="Q21" s="20" t="n">
        <x:f>Q13*Q20</x:f>
        <x:v>140.361088504896</x:v>
      </x:c>
      <x:c r="R21" s="20" t="n">
        <x:f>R13*R20</x:f>
        <x:v>139.69270236915844</x:v>
      </x:c>
      <x:c r="S21" s="20" t="n">
        <x:f>S13*S20</x:f>
        <x:v>136.23714604739507</x:v>
      </x:c>
      <x:c r="T21" s="20" t="n">
        <x:f>T13*T20</x:f>
        <x:v>138.48105198229334</x:v>
      </x:c>
      <x:c r="U21" s="20" t="n">
        <x:f>U13*U20</x:f>
        <x:v>138.913805269738</x:v>
      </x:c>
      <x:c r="V21" s="20" t="n">
        <x:f>V13*V20</x:f>
        <x:v>137.43205801352747</x:v>
      </x:c>
      <x:c r="W21" s="20" t="n">
        <x:f>W13*W20</x:f>
        <x:v>135.2724113876006</x:v>
      </x:c>
      <x:c r="Y21" s="64" t="str">
        <x:v>Capex</x:v>
      </x:c>
      <x:c r="Z21" s="20" t="n">
        <x:f>Z13*Z20</x:f>
        <x:v>123.5900848</x:v>
      </x:c>
      <x:c r="AA21" s="20" t="n">
        <x:f>AA13*AA20</x:f>
        <x:v>133.47729158399997</x:v>
      </x:c>
      <x:c r="AB21" s="20" t="n">
        <x:f>AB13*AB20</x:f>
        <x:v>135.47945095775998</x:v>
      </x:c>
      <x:c r="AC21" s="20" t="n">
        <x:f>AC13*AC20</x:f>
        <x:v>140.96314302033596</x:v>
      </x:c>
      <x:c r="AD21" s="20" t="n">
        <x:f>AD13*AD20</x:f>
        <x:v>143.78240588074271</x:v>
      </x:c>
      <x:c r="AE21" s="20" t="n">
        <x:f>AE13*AE20</x:f>
        <x:v>142.09084816449868</x:v>
      </x:c>
      <x:c r="AF21" s="20" t="n">
        <x:f>AF13*AF20</x:f>
        <x:v>147.20611869842065</x:v>
      </x:c>
      <x:c r="AG21" s="20" t="n">
        <x:f>AG13*AG20</x:f>
        <x:v>150.36053552767254</x:v>
      </x:c>
      <x:c r="AH21" s="20" t="n">
        <x:f>AH13*AH20</x:f>
        <x:v>151.28583113091975</x:v>
      </x:c>
      <x:c r="AI21" s="20" t="n">
        <x:f>AI13*AI20</x:f>
        <x:v>163.38869762139333</x:v>
      </x:c>
    </x:row>
    <x:row r="22">
      <x:c r="A22" s="64" t="str">
        <x:v>NWC Investment</x:v>
      </x:c>
      <x:c r="B22" s="20" t="n">
        <x:f>B13*0.01-'Historical Financials'!G4*0.01</x:f>
        <x:v>0.40283600000000064</x:v>
      </x:c>
      <x:c r="C22" s="20" t="n">
        <x:f>(C13-B13)*0.01</x:f>
        <x:v>0.3988076400000006</x:v>
      </x:c>
      <x:c r="D22" s="20" t="n">
        <x:f>(D13-C13)*0.01</x:f>
        <x:v>0.3864002912000001</x:v>
      </x:c>
      <x:c r="E22" s="20" t="n">
        <x:f>(E13-D13)*0.01</x:f>
        <x:v>0.3651482751840001</x:v>
      </x:c>
      <x:c r="F22" s="20" t="n">
        <x:f>(F13-E13)*0.01</x:f>
        <x:v>0.3348931323830402</x:v>
      </x:c>
      <x:c r="G22" s="20" t="n">
        <x:f>(G13-F13)*0.01</x:f>
        <x:v>0.29582226693835195</x:v>
      </x:c>
      <x:c r="H22" s="20" t="n">
        <x:f>(H13-G13)*0.01</x:f>
        <x:v>0.31061338028526964</x:v>
      </x:c>
      <x:c r="I22" s="20" t="n">
        <x:f>(I13-H13)*0.01</x:f>
        <x:v>0.2609152394396267</x:v>
      </x:c>
      <x:c r="J22" s="20" t="n">
        <x:f>(J13-I13)*0.01</x:f>
        <x:v>0.2713518490172123</x:v>
      </x:c>
      <x:c r="K22" s="20" t="n">
        <x:f>(K13-J13)*0.01</x:f>
        <x:v>0.28220592297790065</x:v>
      </x:c>
      <x:c r="M22" s="64" t="str">
        <x:v>NWC Investment</x:v>
      </x:c>
      <x:c r="N22" s="20" t="n">
        <x:f>N13*0.01-'Historical Financials'!G4*0.01</x:f>
        <x:v>0.6042540000000001</x:v>
      </x:c>
      <x:c r="O22" s="20" t="n">
        <x:f>(O13-N13)*0.01</x:f>
        <x:v>0.6485659600000008</x:v>
      </x:c>
      <x:c r="P22" s="20" t="n">
        <x:f>(P13-O13)*0.01</x:f>
        <x:v>0.6865533947999996</x:v>
      </x:c>
      <x:c r="Q22" s="20" t="n">
        <x:f>(Q13-P13)*0.01</x:f>
        <x:v>0.7161280025760004</x:v>
      </x:c>
      <x:c r="R22" s="20" t="n">
        <x:f>(R13-Q13)*0.01</x:f>
        <x:v>0.6683861357376009</x:v>
      </x:c>
      <x:c r="S22" s="20" t="n">
        <x:f>(S13-R13)*0.01</x:f>
        <x:v>0.661702274380225</x:v>
      </x:c>
      <x:c r="T22" s="20" t="n">
        <x:f>(T13-S13)*0.01</x:f>
        <x:v>0.6411159813995062</x:v>
      </x:c>
      <x:c r="U22" s="20" t="n">
        <x:f>(U13-T13)*0.01</x:f>
        <x:v>0.6058546024225336</x:v>
      </x:c>
      <x:c r="V22" s="20" t="n">
        <x:f>(V13-U13)*0.01</x:f>
        <x:v>0.5556552210789528</x:v>
      </x:c>
      <x:c r="W22" s="20" t="n">
        <x:f>(W13-V13)*0.01</x:f>
        <x:v>0.5889945343436886</x:v>
      </x:c>
      <x:c r="Y22" s="64" t="str">
        <x:v>NWC Investment</x:v>
      </x:c>
      <x:c r="Z22" s="20" t="n">
        <x:f>Z13*0.01-'Historical Financials'!G4*0.01</x:f>
        <x:v>0.7251047999999995</x:v>
      </x:c>
      <x:c r="AA22" s="20" t="n">
        <x:f>(AA13-Z13)*0.01</x:f>
        <x:v>0.8080890159999996</x:v>
      </x:c>
      <x:c r="AB22" s="20" t="n">
        <x:f>(AB13-AA13)*0.01</x:f>
        <x:v>0.88984861056</x:v>
      </x:c>
      <x:c r="AC22" s="20" t="n">
        <x:f>(AC13-AB13)*0.01</x:f>
        <x:v>0.9677103639839993</x:v>
      </x:c>
      <x:c r="AD22" s="20" t="n">
        <x:f>(AD13-AC13)*0.01</x:f>
        <x:v>1.0386757906761601</x:v>
      </x:c>
      <x:c r="AE22" s="20" t="n">
        <x:f>(AE13-AD13)*0.01</x:f>
        <x:v>1.0149346297464195</x:v>
      </x:c>
      <x:c r="AF22" s="20" t="n">
        <x:f>(AF13-AE13)*0.01</x:f>
        <x:v>1.041999553206324</x:v>
      </x:c>
      <x:c r="AG22" s="20" t="n">
        <x:f>(AG13-AF13)*0.01</x:f>
        <x:v>1.0514722764172917</x:v>
      </x:c>
      <x:c r="AH22" s="20" t="n">
        <x:f>(AH13-AG13)*0.01</x:f>
        <x:v>1.040957553653118</x:v>
      </x:c>
      <x:c r="AI22" s="20" t="n">
        <x:f>(AI13-AH13)*0.01</x:f>
        <x:v>1.0085722075394665</x:v>
      </x:c>
    </x:row>
    <x:row r="23">
      <x:c r="A23" s="64" t="str">
        <x:v>FCF</x:v>
      </x:c>
      <x:c r="B23" s="20" t="n">
        <x:f>B17+B19-B21-B22</x:f>
        <x:v>-14.139543600000017</x:v>
      </x:c>
      <x:c r="C23" s="20" t="n">
        <x:f>C17+C19-C21-C22</x:f>
        <x:v>-5.711811643999993</x:v>
      </x:c>
      <x:c r="D23" s="20" t="n">
        <x:f>D17+D19-D21-D22</x:f>
        <x:v>9.003126784959994</x:v>
      </x:c>
      <x:c r="E23" s="20" t="n">
        <x:f>E17+E19-E21-E22</x:f>
        <x:v>23.66343397329913</x:v>
      </x:c>
      <x:c r="F23" s="20" t="n">
        <x:f>F17+F19-F21-F22</x:f>
        <x:v>34.63129881973017</x:v>
      </x:c>
      <x:c r="G23" s="20" t="n">
        <x:f>G17+G19-G21-G22</x:f>
        <x:v>48.84321449419131</x:v>
      </x:c>
      <x:c r="H23" s="20" t="n">
        <x:f>H17+H19-H21-H22</x:f>
        <x:v>55.2317182154252</x:v>
      </x:c>
      <x:c r="I23" s="20" t="n">
        <x:f>I17+I19-I21-I22</x:f>
        <x:v>64.28690584552959</x:v>
      </x:c>
      <x:c r="J23" s="20" t="n">
        <x:f>J17+J19-J21-J22</x:f>
        <x:v>71.12674666439153</x:v>
      </x:c>
      <x:c r="K23" s="20" t="n">
        <x:f>K17+K19-K21-K22</x:f>
        <x:v>81.30917052839258</x:v>
      </x:c>
      <x:c r="M23" s="64" t="str">
        <x:v>FCF</x:v>
      </x:c>
      <x:c r="N23" s="20" t="n">
        <x:f>N17+N19-N21-N22</x:f>
        <x:v>10.884628719999991</x:v>
      </x:c>
      <x:c r="O23" s="20" t="n">
        <x:f>O17+O19-O21-O22</x:f>
        <x:v>23.011120260800013</x:v>
      </x:c>
      <x:c r="P23" s="20" t="n">
        <x:f>P17+P19-P21-P22</x:f>
        <x:v>45.71257343877002</x:v>
      </x:c>
      <x:c r="Q23" s="20" t="n">
        <x:f>Q17+Q19-Q21-Q22</x:f>
        <x:v>63.95023063003683</x:v>
      </x:c>
      <x:c r="R23" s="20" t="n">
        <x:f>R17+R19-R21-R22</x:f>
        <x:v>88.07324110614356</x:v>
      </x:c>
      <x:c r="S23" s="20" t="n">
        <x:f>S17+S19-S21-S22</x:f>
        <x:v>112.09457095425796</x:v>
      </x:c>
      <x:c r="T23" s="20" t="n">
        <x:f>T17+T19-T21-T22</x:f>
        <x:v>129.79072485442305</x:v>
      </x:c>
      <x:c r="U23" s="20" t="n">
        <x:f>U17+U19-U21-U22</x:f>
        <x:v>148.2171354432235</x:v>
      </x:c>
      <x:c r="V23" s="20" t="n">
        <x:f>V17+V19-V21-V22</x:f>
        <x:v>167.01328979970066</x:v>
      </x:c>
      <x:c r="W23" s="20" t="n">
        <x:f>W17+W19-W21-W22</x:f>
        <x:v>187.43965729442118</x:v>
      </x:c>
      <x:c r="Y23" s="64" t="str">
        <x:v>FCF</x:v>
      </x:c>
      <x:c r="Z23" s="20" t="n">
        <x:f>Z17+Z19-Z21-Z22</x:f>
        <x:v>24.32565469600001</x:v>
      </x:c>
      <x:c r="AA23" s="20" t="n">
        <x:f>AA17+AA19-AA21-AA22</x:f>
        <x:v>41.821220983640046</x:v>
      </x:c>
      <x:c r="AB23" s="20" t="n">
        <x:f>AB17+AB19-AB21-AB22</x:f>
        <x:v>69.81752198453765</x:v>
      </x:c>
      <x:c r="AC23" s="20" t="n">
        <x:f>AC17+AC19-AC21-AC22</x:f>
        <x:v>97.37262967467672</x:v>
      </x:c>
      <x:c r="AD23" s="20" t="n">
        <x:f>AD17+AD19-AD21-AD22</x:f>
        <x:v>131.32571550541928</x:v>
      </x:c>
      <x:c r="AE23" s="20" t="n">
        <x:f>AE17+AE19-AE21-AE22</x:f>
        <x:v>166.17863004381365</x:v>
      </x:c>
      <x:c r="AF23" s="20" t="n">
        <x:f>AF17+AF19-AF21-AF22</x:f>
        <x:v>199.21089549046656</x:v>
      </x:c>
      <x:c r="AG23" s="20" t="n">
        <x:f>AG17+AG19-AG21-AG22</x:f>
        <x:v>230.79290731221315</x:v>
      </x:c>
      <x:c r="AH23" s="20" t="n">
        <x:f>AH17+AH19-AH21-AH22</x:f>
        <x:v>269.25639406692346</x:v>
      </x:c>
      <x:c r="AI23" s="20" t="n">
        <x:f>AI17+AI19-AI21-AI22</x:f>
        <x:v>290.9125675426833</x:v>
      </x:c>
    </x:row>
    <x:row r="24">
      <x:c r="A24" s="64" t="str">
        <x:v>FCF Margin</x:v>
      </x:c>
      <x:c r="B24" s="38" t="n">
        <x:f>B23/B13</x:f>
        <x:v>-0.03190909090909094</x:v>
      </x:c>
      <x:c r="C24" s="38" t="n">
        <x:f>C23/C13</x:f>
        <x:v>-0.011825688073394479</x:v>
      </x:c>
      <x:c r="D24" s="38" t="n">
        <x:f>D23/D13</x:f>
        <x:v>0.017259259259259245</x:v>
      </x:c>
      <x:c r="E24" s="38" t="n">
        <x:f>E23/E13</x:f>
        <x:v>0.042395794392523375</x:v>
      </x:c>
      <x:c r="F24" s="38" t="n">
        <x:f>F23/F13</x:f>
        <x:v>0.05853396226415093</x:v>
      </x:c>
      <x:c r="G24" s="38" t="n">
        <x:f>G23/G13</x:f>
        <x:v>0.07862380952380953</x:v>
      </x:c>
      <x:c r="H24" s="38" t="n">
        <x:f>H23/H13</x:f>
        <x:v>0.08467380952380948</x:v>
      </x:c>
      <x:c r="I24" s="38" t="n">
        <x:f>I23/I13</x:f>
        <x:v>0.09476538461538463</x:v>
      </x:c>
      <x:c r="J24" s="38" t="n">
        <x:f>J23/J13</x:f>
        <x:v>0.10081538461538465</x:v>
      </x:c>
      <x:c r="K24" s="38" t="n">
        <x:f>K23/K13</x:f>
        <x:v>0.11081538461538462</x:v>
      </x:c>
      <x:c r="M24" s="64" t="str">
        <x:v>FCF Margin</x:v>
      </x:c>
      <x:c r="N24" s="38" t="n">
        <x:f>N23/N13</x:f>
        <x:v>0.023495652173913025</x:v>
      </x:c>
      <x:c r="O24" s="38" t="n">
        <x:f>O23/O13</x:f>
        <x:v>0.04357192982456142</x:v>
      </x:c>
      <x:c r="P24" s="38" t="n">
        <x:f>P23/P13</x:f>
        <x:v>0.07659955752212393</x:v>
      </x:c>
      <x:c r="Q24" s="38" t="n">
        <x:f>Q23/Q13</x:f>
        <x:v>0.09567857142857146</x:v>
      </x:c>
      <x:c r="R24" s="38" t="n">
        <x:f>R23/R13</x:f>
        <x:v>0.11979090909090907</x:v>
      </x:c>
      <x:c r="S24" s="38" t="n">
        <x:f>S23/S13</x:f>
        <x:v>0.13987431192660557</x:v>
      </x:c>
      <x:c r="T24" s="38" t="n">
        <x:f>T23/T13</x:f>
        <x:v>0.1499592592592593</x:v>
      </x:c>
      <x:c r="U24" s="38" t="n">
        <x:f>U23/U13</x:f>
        <x:v>0.16004579439252342</x:v>
      </x:c>
      <x:c r="V24" s="38" t="n">
        <x:f>V23/V13</x:f>
        <x:v>0.170133962264151</x:v>
      </x:c>
      <x:c r="W24" s="38" t="n">
        <x:f>W23/W13</x:f>
        <x:v>0.180133962264151</x:v>
      </x:c>
      <x:c r="Y24" s="64" t="str">
        <x:v>FCF Margin</x:v>
      </x:c>
      <x:c r="Z24" s="38" t="n">
        <x:f>Z23/Z13</x:f>
        <x:v>0.05117457627118647</x:v>
      </x:c>
      <x:c r="AA24" s="38" t="n">
        <x:f>AA23/AA13</x:f>
        <x:v>0.07519700854700864</x:v>
      </x:c>
      <x:c r="AB24" s="38" t="n">
        <x:f>AB23/AB13</x:f>
        <x:v>0.1082206896551725</x:v>
      </x:c>
      <x:c r="AC24" s="38" t="n">
        <x:f>AC23/AC13</x:f>
        <x:v>0.13124565217391307</x:v>
      </x:c>
      <x:c r="AD24" s="38" t="n">
        <x:f>AD23/AD13</x:f>
        <x:v>0.15527192982456134</x:v>
      </x:c>
      <x:c r="AE24" s="38" t="n">
        <x:f>AE23/AE13</x:f>
        <x:v>0.1754285714285714</x:v>
      </x:c>
      <x:c r="AF24" s="38" t="n">
        <x:f>AF23/AF13</x:f>
        <x:v>0.18945900900900897</x:v>
      </x:c>
      <x:c r="AG24" s="38" t="n">
        <x:f>AG23/AG13</x:f>
        <x:v>0.1995409090909091</x:v>
      </x:c>
      <x:c r="AH24" s="38" t="n">
        <x:f>AH23/AH13</x:f>
        <x:v>0.21357431192660548</x:v>
      </x:c>
      <x:c r="AI24" s="38" t="n">
        <x:f>AI23/AI13</x:f>
        <x:v>0.21365925925925924</x:v>
      </x:c>
    </x:row>
    <x:row r="25">
      <x:c r="A25" s="64" t="str">
        <x:v>Discount Factor</x:v>
      </x:c>
      <x:c r="B25" s="66" t="n">
        <x:f>1/(1+$B$6)^1</x:f>
        <x:v>0.9049773755656109</x:v>
      </x:c>
      <x:c r="C25" s="66" t="n">
        <x:f>1/(1+$B$6)^2</x:f>
        <x:v>0.8189840502856207</x:v>
      </x:c>
      <x:c r="D25" s="66" t="n">
        <x:f>1/(1+$B$6)^3</x:f>
        <x:v>0.7411620364575753</x:v>
      </x:c>
      <x:c r="E25" s="66" t="n">
        <x:f>1/(1+$B$6)^4</x:f>
        <x:v>0.67073487462224</x:v>
      </x:c>
      <x:c r="F25" s="66" t="n">
        <x:f>1/(1+$B$6)^5</x:f>
        <x:v>0.6069998865359638</x:v>
      </x:c>
      <x:c r="G25" s="66" t="n">
        <x:f>1/(1+$B$6)^6</x:f>
        <x:v>0.54932116428594</x:v>
      </x:c>
      <x:c r="H25" s="66" t="n">
        <x:f>1/(1+$B$6)^7</x:f>
        <x:v>0.4971232255981358</x:v>
      </x:c>
      <x:c r="I25" s="66" t="n">
        <x:f>1/(1+$B$6)^8</x:f>
        <x:v>0.44988527203451206</x:v>
      </x:c>
      <x:c r="J25" s="66" t="n">
        <x:f>1/(1+$B$6)^9</x:f>
        <x:v>0.40713599279141366</x:v>
      </x:c>
      <x:c r="K25" s="66" t="n">
        <x:f>1/(1+$B$6)^10</x:f>
        <x:v>0.36844886225467294</x:v>
      </x:c>
      <x:c r="M25" s="64" t="str">
        <x:v>Discount Factor</x:v>
      </x:c>
      <x:c r="N25" s="66" t="n">
        <x:f>1/(1+$C$6)^1</x:f>
        <x:v>0.9174311926605504</x:v>
      </x:c>
      <x:c r="O25" s="66" t="n">
        <x:f>1/(1+$C$6)^2</x:f>
        <x:v>0.84167999326656</x:v>
      </x:c>
      <x:c r="P25" s="66" t="n">
        <x:f>1/(1+$C$6)^3</x:f>
        <x:v>0.7721834800610642</x:v>
      </x:c>
      <x:c r="Q25" s="66" t="n">
        <x:f>1/(1+$C$6)^4</x:f>
        <x:v>0.7084252110651964</x:v>
      </x:c>
      <x:c r="R25" s="66" t="n">
        <x:f>1/(1+$C$6)^5</x:f>
        <x:v>0.6499313862983452</x:v>
      </x:c>
      <x:c r="S25" s="66" t="n">
        <x:f>1/(1+$C$6)^6</x:f>
        <x:v>0.5962673268792158</x:v>
      </x:c>
      <x:c r="T25" s="66" t="n">
        <x:f>1/(1+$C$6)^7</x:f>
        <x:v>0.5470342448433173</x:v>
      </x:c>
      <x:c r="U25" s="66" t="n">
        <x:f>1/(1+$C$6)^8</x:f>
        <x:v>0.5018662796727681</x:v>
      </x:c>
      <x:c r="V25" s="66" t="n">
        <x:f>1/(1+$C$6)^9</x:f>
        <x:v>0.460427779516301</x:v>
      </x:c>
      <x:c r="W25" s="66" t="n">
        <x:f>1/(1+$C$6)^10</x:f>
        <x:v>0.42241080689568894</x:v>
      </x:c>
      <x:c r="Y25" s="64" t="str">
        <x:v>Discount Factor</x:v>
      </x:c>
      <x:c r="Z25" s="66" t="n">
        <x:f>1/(1+$D$6)^1</x:f>
        <x:v>0.9259259259259258</x:v>
      </x:c>
      <x:c r="AA25" s="66" t="n">
        <x:f>1/(1+$D$6)^2</x:f>
        <x:v>0.8573388203017832</x:v>
      </x:c>
      <x:c r="AB25" s="66" t="n">
        <x:f>1/(1+$D$6)^3</x:f>
        <x:v>0.7938322410201696</x:v>
      </x:c>
      <x:c r="AC25" s="66" t="n">
        <x:f>1/(1+$D$6)^4</x:f>
        <x:v>0.7350298527964533</x:v>
      </x:c>
      <x:c r="AD25" s="66" t="n">
        <x:f>1/(1+$D$6)^5</x:f>
        <x:v>0.680583197033753</x:v>
      </x:c>
      <x:c r="AE25" s="66" t="n">
        <x:f>1/(1+$D$6)^6</x:f>
        <x:v>0.6301696268831045</x:v>
      </x:c>
      <x:c r="AF25" s="66" t="n">
        <x:f>1/(1+$D$6)^7</x:f>
        <x:v>0.5834903952621339</x:v>
      </x:c>
      <x:c r="AG25" s="66" t="n">
        <x:f>1/(1+$D$6)^8</x:f>
        <x:v>0.5402688845019757</x:v>
      </x:c>
      <x:c r="AH25" s="66" t="n">
        <x:f>1/(1+$D$6)^9</x:f>
        <x:v>0.500248967131459</x:v>
      </x:c>
      <x:c r="AI25" s="66" t="n">
        <x:f>1/(1+$D$6)^10</x:f>
        <x:v>0.46319348808468425</x:v>
      </x:c>
    </x:row>
    <x:row r="26">
      <x:c r="A26" s="64" t="str">
        <x:v>PV of FCF</x:v>
      </x:c>
      <x:c r="B26" s="20" t="n">
        <x:f>B23*B25</x:f>
        <x:v>-12.795967058823546</x:v>
      </x:c>
      <x:c r="C26" s="20" t="n">
        <x:f>C23*C25</x:f>
        <x:v>-4.677882634671684</x:v>
      </x:c>
      <x:c r="D26" s="20" t="n">
        <x:f>D23*D25</x:f>
        <x:v>6.672775782426691</x:v>
      </x:c>
      <x:c r="E26" s="20" t="n">
        <x:f>E23*E25</x:f>
        <x:v>15.871890419212448</x:v>
      </x:c>
      <x:c r="F26" s="20" t="n">
        <x:f>F23*F25</x:f>
        <x:v>21.02119445416927</x:v>
      </x:c>
      <x:c r="G26" s="20" t="n">
        <x:f>G23*G25</x:f>
        <x:v>26.83061145341707</x:v>
      </x:c>
      <x:c r="H26" s="20" t="n">
        <x:f>H23*H25</x:f>
        <x:v>27.45696991457949</x:v>
      </x:c>
      <x:c r="I26" s="20" t="n">
        <x:f>I23*I25</x:f>
        <x:v>28.921732124573143</x:v>
      </x:c>
      <x:c r="J26" s="20" t="n">
        <x:f>J23*J25</x:f>
        <x:v>28.958258617230417</x:v>
      </x:c>
      <x:c r="K26" s="20" t="n">
        <x:f>K23*K25</x:f>
        <x:v>29.958271372057432</x:v>
      </x:c>
      <x:c r="M26" s="64" t="str">
        <x:v>PV of FCF</x:v>
      </x:c>
      <x:c r="N26" s="20" t="n">
        <x:f>N23*N25</x:f>
        <x:v>9.985897908256872</x:v>
      </x:c>
      <x:c r="O26" s="20" t="n">
        <x:f>O23*O25</x:f>
        <x:v>19.367999546166157</x:v>
      </x:c>
      <x:c r="P26" s="20" t="n">
        <x:f>P23*P25</x:f>
        <x:v>35.2984940404964</x:v>
      </x:c>
      <x:c r="Q26" s="20" t="n">
        <x:f>Q23*Q25</x:f>
        <x:v>45.303955631751826</x:v>
      </x:c>
      <x:c r="R26" s="20" t="n">
        <x:f>R23*R25</x:f>
        <x:v>57.24156368790429</x:v>
      </x:c>
      <x:c r="S26" s="20" t="n">
        <x:f>S23*S25</x:f>
        <x:v>66.83833018056798</x:v>
      </x:c>
      <x:c r="T26" s="20" t="n">
        <x:f>T23*T25</x:f>
        <x:v>70.99997115840608</x:v>
      </x:c>
      <x:c r="U26" s="20" t="n">
        <x:f>U23*U25</x:f>
        <x:v>74.38518234864536</x:v>
      </x:c>
      <x:c r="V26" s="20" t="n">
        <x:f>V23*V25</x:f>
        <x:v>76.89755817218865</x:v>
      </x:c>
      <x:c r="W26" s="20" t="n">
        <x:f>W23*W25</x:f>
        <x:v>79.17653688198786</x:v>
      </x:c>
      <x:c r="Y26" s="64" t="str">
        <x:v>PV of FCF</x:v>
      </x:c>
      <x:c r="Z26" s="20" t="n">
        <x:f>Z23*Z25</x:f>
        <x:v>22.523754348148156</x:v>
      </x:c>
      <x:c r="AA26" s="20" t="n">
        <x:f>AA23*AA25</x:f>
        <x:v>35.85495626169414</x:v>
      </x:c>
      <x:c r="AB26" s="20" t="n">
        <x:f>AB23*AB25</x:f>
        <x:v>55.42339993946048</x:v>
      </x:c>
      <x:c r="AC26" s="20" t="n">
        <x:f>AC23*AC25</x:f>
        <x:v>71.57178965618118</x:v>
      </x:c>
      <x:c r="AD26" s="20" t="n">
        <x:f>AD23*AD25</x:f>
        <x:v>89.37807531142337</x:v>
      </x:c>
      <x:c r="AE26" s="20" t="n">
        <x:f>AE23*AE25</x:f>
        <x:v>104.72072529065551</x:v>
      </x:c>
      <x:c r="AF26" s="20" t="n">
        <x:f>AF23*AF25</x:f>
        <x:v>116.23764415025597</x:v>
      </x:c>
      <x:c r="AG26" s="20" t="n">
        <x:f>AG23*AG25</x:f>
        <x:v>124.69022658453727</x:v>
      </x:c>
      <x:c r="AH26" s="20" t="n">
        <x:f>AH23*AH25</x:f>
        <x:v>134.69523302551957</x:v>
      </x:c>
      <x:c r="AI26" s="20" t="n">
        <x:f>AI23*AI25</x:f>
        <x:v>134.74880688776676</x:v>
      </x:c>
    </x:row>
    <x:row r="29" ht="21" customHeight="1">
      <x:c r="A29" s="70" t="str">
        <x:v>Scenario Valuation Summary</x:v>
      </x:c>
    </x:row>
    <x:row r="30">
      <x:c r="A30" s="12" t="str">
        <x:v>Output</x:v>
      </x:c>
      <x:c r="B30" s="12" t="str">
        <x:v>Bear</x:v>
      </x:c>
      <x:c r="C30" s="12" t="str">
        <x:v>Base</x:v>
      </x:c>
      <x:c r="D30" s="12" t="str">
        <x:v>Bull</x:v>
      </x:c>
      <x:c r="E30" s="12" t="str">
        <x:v>Probability Weighted</x:v>
      </x:c>
    </x:row>
    <x:row r="31">
      <x:c r="A31" t="str">
        <x:v>PV Explicit FCF</x:v>
      </x:c>
      <x:c r="B31" s="20" t="n">
        <x:f>SUM(B26:K26)</x:f>
        <x:v>168.2178544441707</x:v>
      </x:c>
      <x:c r="C31" s="20" t="n">
        <x:f>SUM(N26:W26)</x:f>
        <x:v>535.4954895563715</x:v>
      </x:c>
      <x:c r="D31" s="20" t="n">
        <x:f>SUM(Z26:AI26)</x:f>
        <x:v>889.8446114556425</x:v>
      </x:c>
      <x:c r="E31" s="20" t="n">
        <x:f>B31*$B$5+C31*$C$5+D31*$D$5</x:f>
        <x:v>532.263361253139</x:v>
      </x:c>
    </x:row>
    <x:row r="32">
      <x:c r="A32" t="str">
        <x:v>Terminal FCF</x:v>
      </x:c>
      <x:c r="B32" s="20" t="n">
        <x:f>K23*(1+$B$7)</x:f>
        <x:v>82.93535393896043</x:v>
      </x:c>
      <x:c r="C32" s="20" t="n">
        <x:f>W23*(1+$C$7)</x:f>
        <x:v>193.06284701325382</x:v>
      </x:c>
      <x:c r="D32" s="20" t="n">
        <x:f>AI23*(1+$D$7)</x:f>
        <x:v>301.09450740667717</x:v>
      </x:c>
      <x:c r="E32" s="20" t="n">
        <x:f>B32*$B$5+C32*$C$5+D32*$D$5</x:f>
        <x:v>192.53888884303632</x:v>
      </x:c>
    </x:row>
    <x:row r="33">
      <x:c r="A33" t="str">
        <x:v>Terminal Value</x:v>
      </x:c>
      <x:c r="B33" s="20" t="n">
        <x:f>B32/($B$6-$B$7)</x:f>
        <x:v>975.7100463407111</x:v>
      </x:c>
      <x:c r="C33" s="20" t="n">
        <x:f>C32/($C$6-$C$7)</x:f>
        <x:v>3217.7141168875637</x:v>
      </x:c>
      <x:c r="D33" s="20" t="n">
        <x:f>D32/($D$6-$D$7)</x:f>
        <x:v>6690.989053481715</x:v>
      </x:c>
      <x:c r="E33" s="20" t="n">
        <x:f>B33*$B$5+C33*$C$5+D33*$D$5</x:f>
        <x:v>3525.5318333993882</x:v>
      </x:c>
    </x:row>
    <x:row r="34">
      <x:c r="A34" t="str">
        <x:v>PV Terminal Value</x:v>
      </x:c>
      <x:c r="B34" s="20" t="n">
        <x:f>B33*K25</x:f>
        <x:v>359.4992564646892</x:v>
      </x:c>
      <x:c r="C34" s="20" t="n">
        <x:f>C33*W25</x:f>
        <x:v>1359.1972164741248</x:v>
      </x:c>
      <x:c r="D34" s="20" t="n">
        <x:f>D33*AI25</x:f>
        <x:v>3099.2225584186353</x:v>
      </x:c>
      <x:c r="E34" s="20" t="n">
        <x:f>B34*$B$5+C34*$C$5+D34*$D$5</x:f>
        <x:v>1544.2790619578936</x:v>
      </x:c>
    </x:row>
    <x:row r="35">
      <x:c r="A35" t="str">
        <x:v>Enterprise Value</x:v>
      </x:c>
      <x:c r="B35" s="20" t="n">
        <x:f>B31+B34</x:f>
        <x:v>527.7171109088599</x:v>
      </x:c>
      <x:c r="C35" s="20" t="n">
        <x:f>C31+C34</x:f>
        <x:v>1894.6927060304963</x:v>
      </x:c>
      <x:c r="D35" s="20" t="n">
        <x:f>D31+D34</x:f>
        <x:v>3989.067169874278</x:v>
      </x:c>
      <x:c r="E35" s="20" t="n">
        <x:f>B35*$B$5+C35*$C$5+D35*$D$5</x:f>
        <x:v>2076.5424232110327</x:v>
      </x:c>
    </x:row>
    <x:row r="36">
      <x:c r="A36" t="str">
        <x:v>Net Debt / (Cash)</x:v>
      </x:c>
      <x:c r="B36" s="68" t="n">
        <x:f>'Company Data'!B14</x:f>
        <x:v>-121.682993152</x:v>
      </x:c>
      <x:c r="C36" s="68" t="n">
        <x:f>'Company Data'!B14</x:f>
        <x:v>-121.682993152</x:v>
      </x:c>
      <x:c r="D36" s="68" t="n">
        <x:f>'Company Data'!B14</x:f>
        <x:v>-121.682993152</x:v>
      </x:c>
      <x:c r="E36" s="20" t="n">
        <x:f>B36*$B$5+C36*$C$5+D36*$D$5</x:f>
        <x:v>-121.682993152</x:v>
      </x:c>
    </x:row>
    <x:row r="37">
      <x:c r="A37" t="str">
        <x:v>Equity Value</x:v>
      </x:c>
      <x:c r="B37" s="68" t="n">
        <x:f>B35-B36</x:f>
        <x:v>649.4001040608599</x:v>
      </x:c>
      <x:c r="C37" s="68" t="n">
        <x:f>C35-C36</x:f>
        <x:v>2016.3756991824962</x:v>
      </x:c>
      <x:c r="D37" s="68" t="n">
        <x:f>D35-D36</x:f>
        <x:v>4110.750163026278</x:v>
      </x:c>
      <x:c r="E37" s="20" t="n">
        <x:f>B37*$B$5+C37*$C$5+D37*$D$5</x:f>
        <x:v>2198.2254163630323</x:v>
      </x:c>
    </x:row>
    <x:row r="38">
      <x:c r="A38" t="str">
        <x:v>Shares Outstanding (bn)</x:v>
      </x:c>
      <x:c r="B38" s="68" t="n">
        <x:f>'Company Data'!B9</x:f>
        <x:v>12.229934327112616</x:v>
      </x:c>
      <x:c r="C38" s="68" t="n">
        <x:f>'Company Data'!B9</x:f>
        <x:v>12.229934327112616</x:v>
      </x:c>
      <x:c r="D38" s="68" t="n">
        <x:f>'Company Data'!B9</x:f>
        <x:v>12.229934327112616</x:v>
      </x:c>
      <x:c r="E38" s="20" t="n">
        <x:f>B38*$B$5+C38*$C$5+D38*$D$5</x:f>
        <x:v>12.229934327112616</x:v>
      </x:c>
    </x:row>
    <x:row r="39">
      <x:c r="A39" t="str">
        <x:v>Intrinsic Value / Share</x:v>
      </x:c>
      <x:c r="B39" s="18" t="n">
        <x:f>B37/B38</x:f>
        <x:v>53.09923068198337</x:v>
      </x:c>
      <x:c r="C39" s="18" t="n">
        <x:f>C37/C38</x:f>
        <x:v>164.87216081875277</x:v>
      </x:c>
      <x:c r="D39" s="18" t="n">
        <x:f>D37/D38</x:f>
        <x:v>336.1220144831956</x:v>
      </x:c>
      <x:c r="E39" s="18" t="n">
        <x:f>B39*$B$5+C39*$C$5+D39*$D$5</x:f>
        <x:v>179.74139170067113</x:v>
      </x:c>
    </x:row>
    <x:row r="40">
      <x:c r="A40" t="str">
        <x:v>Upside / (Downside)</x:v>
      </x:c>
      <x:c r="B40" s="38" t="n">
        <x:f>B39/'Company Data'!B8-1</x:f>
        <x:v>-0.8501291823822089</x:v>
      </x:c>
      <x:c r="C40" s="38" t="n">
        <x:f>C39/'Company Data'!B8-1</x:f>
        <x:v>-0.534653793906992</x:v>
      </x:c>
      <x:c r="D40" s="38" t="n">
        <x:f>D39/'Company Data'!B8-1</x:f>
        <x:v>-0.05130676126673561</x:v>
      </x:c>
      <x:c r="E40" s="38" t="n">
        <x:f>B40*$B$5+C40*$C$5+D40*$D$5</x:f>
        <x:v>-0.4926858828657321</x:v>
      </x:c>
    </x:row>
    <x:row r="41">
      <x:c r="A41" t="str">
        <x:v>10Y Value CAGR</x:v>
      </x:c>
      <x:c r="B41" s="38" t="n">
        <x:f>(B39/'Company Data'!B8)^(1/10)-1</x:f>
        <x:v>-0.17287393344872093</x:v>
      </x:c>
      <x:c r="C41" s="38" t="n">
        <x:f>(C39/'Company Data'!B8)^(1/10)-1</x:f>
        <x:v>-0.07364464209891597</x:v>
      </x:c>
      <x:c r="D41" s="38" t="n">
        <x:f>(D39/'Company Data'!B8)^(1/10)-1</x:f>
        <x:v>-0.005253131739951122</x:v>
      </x:c>
      <x:c r="E41" s="38" t="n">
        <x:f>B41*$B$5+C41*$C$5+D41*$D$5</x:f>
        <x:v>-0.081354087346626</x:v>
      </x:c>
    </x:row>
  </x:sheetData>
  <x:mergeCells>
    <x:mergeCell ref="A1:AI1"/>
    <x:mergeCell ref="A2:AI2"/>
    <x:mergeCell ref="A29:E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8" customHeight="1">
      <x:c r="A1" s="4" t="str">
        <x:v>DCF Valuation — Base Case</x:v>
      </x:c>
    </x:row>
    <x:row r="3">
      <x:c r="A3" s="12" t="str">
        <x:v>Input</x:v>
      </x:c>
      <x:c r="B3" s="12" t="str">
        <x:v>Value</x:v>
      </x:c>
    </x:row>
    <x:row r="4">
      <x:c r="A4" t="str">
        <x:v>Current Share Price</x:v>
      </x:c>
      <x:c r="B4" s="72" t="n">
        <x:f>'Company Data'!B8</x:f>
        <x:v>354.3</x:v>
      </x:c>
    </x:row>
    <x:row r="5">
      <x:c r="A5" t="str">
        <x:v>Shares Outstanding (bn)</x:v>
      </x:c>
      <x:c r="B5" s="68" t="n">
        <x:f>'Company Data'!B9</x:f>
        <x:v>12.229934327112616</x:v>
      </x:c>
    </x:row>
    <x:row r="6">
      <x:c r="A6" t="str">
        <x:v>WACC</x:v>
      </x:c>
      <x:c r="B6" s="74" t="n">
        <x:f>'Three-Case Scenarios'!C6</x:f>
        <x:v>0.09</x:v>
      </x:c>
    </x:row>
    <x:row r="7">
      <x:c r="A7" t="str">
        <x:v>Terminal Growth</x:v>
      </x:c>
      <x:c r="B7" s="74" t="n">
        <x:f>'Three-Case Scenarios'!C7</x:f>
        <x:v>0.03</x:v>
      </x:c>
    </x:row>
    <x:row r="8">
      <x:c r="A8" t="str">
        <x:v>Net Debt / (Cash) ($bn)</x:v>
      </x:c>
      <x:c r="B8" s="76" t="n">
        <x:f>'Company Data'!B14</x:f>
        <x:v>-121.682993152</x:v>
      </x:c>
    </x:row>
    <x:row r="9">
      <x:c r="A9" t="str">
        <x:v>Base Intrinsic Value / Share</x:v>
      </x:c>
      <x:c r="B9" s="72" t="n">
        <x:f>'Three-Case Scenarios'!C39</x:f>
        <x:v>164.87216081875277</x:v>
      </x:c>
    </x:row>
    <x:row r="12" ht="21" customHeight="1">
      <x:c r="A12" s="70" t="str">
        <x:v>Base-Case 10-Year Cash Flow</x:v>
      </x:c>
    </x:row>
    <x:row r="13">
      <x:c r="A13" s="12" t="str">
        <x:v>Metric</x:v>
      </x:c>
      <x:c r="B13" s="12" t="n">
        <x:v>2026</x:v>
      </x:c>
      <x:c r="C13" s="12" t="n">
        <x:v>2027</x:v>
      </x:c>
      <x:c r="D13" s="12" t="n">
        <x:v>2028</x:v>
      </x:c>
      <x:c r="E13" s="12" t="n">
        <x:v>2029</x:v>
      </x:c>
      <x:c r="F13" s="12" t="n">
        <x:v>2030</x:v>
      </x:c>
      <x:c r="G13" s="12" t="n">
        <x:v>2031</x:v>
      </x:c>
      <x:c r="H13" s="12" t="n">
        <x:v>2032</x:v>
      </x:c>
      <x:c r="I13" s="12" t="n">
        <x:v>2033</x:v>
      </x:c>
      <x:c r="J13" s="12" t="n">
        <x:v>2034</x:v>
      </x:c>
      <x:c r="K13" s="12" t="n">
        <x:v>2035</x:v>
      </x:c>
    </x:row>
    <x:row r="14">
      <x:c r="A14" t="str">
        <x:v>FCF</x:v>
      </x:c>
      <x:c r="B14" s="68" t="n">
        <x:f>'Three-Case Scenarios'!N23</x:f>
        <x:v>10.884628719999991</x:v>
      </x:c>
      <x:c r="C14" s="68" t="n">
        <x:f>'Three-Case Scenarios'!O23</x:f>
        <x:v>23.011120260800013</x:v>
      </x:c>
      <x:c r="D14" s="68" t="n">
        <x:f>'Three-Case Scenarios'!P23</x:f>
        <x:v>45.71257343877002</x:v>
      </x:c>
      <x:c r="E14" s="68" t="n">
        <x:f>'Three-Case Scenarios'!Q23</x:f>
        <x:v>63.95023063003683</x:v>
      </x:c>
      <x:c r="F14" s="68" t="n">
        <x:f>'Three-Case Scenarios'!R23</x:f>
        <x:v>88.07324110614356</x:v>
      </x:c>
      <x:c r="G14" s="68" t="n">
        <x:f>'Three-Case Scenarios'!S23</x:f>
        <x:v>112.09457095425796</x:v>
      </x:c>
      <x:c r="H14" s="68" t="n">
        <x:f>'Three-Case Scenarios'!T23</x:f>
        <x:v>129.79072485442305</x:v>
      </x:c>
      <x:c r="I14" s="68" t="n">
        <x:f>'Three-Case Scenarios'!U23</x:f>
        <x:v>148.2171354432235</x:v>
      </x:c>
      <x:c r="J14" s="68" t="n">
        <x:f>'Three-Case Scenarios'!V23</x:f>
        <x:v>167.01328979970066</x:v>
      </x:c>
      <x:c r="K14" s="68" t="n">
        <x:f>'Three-Case Scenarios'!W23</x:f>
        <x:v>187.43965729442118</x:v>
      </x:c>
    </x:row>
    <x:row r="15">
      <x:c r="A15" t="str">
        <x:v>Discount Factor</x:v>
      </x:c>
      <x:c r="B15" s="78" t="n">
        <x:f>'Three-Case Scenarios'!N25</x:f>
        <x:v>0.9174311926605504</x:v>
      </x:c>
      <x:c r="C15" s="78" t="n">
        <x:f>'Three-Case Scenarios'!O25</x:f>
        <x:v>0.84167999326656</x:v>
      </x:c>
      <x:c r="D15" s="78" t="n">
        <x:f>'Three-Case Scenarios'!P25</x:f>
        <x:v>0.7721834800610642</x:v>
      </x:c>
      <x:c r="E15" s="78" t="n">
        <x:f>'Three-Case Scenarios'!Q25</x:f>
        <x:v>0.7084252110651964</x:v>
      </x:c>
      <x:c r="F15" s="78" t="n">
        <x:f>'Three-Case Scenarios'!R25</x:f>
        <x:v>0.6499313862983452</x:v>
      </x:c>
      <x:c r="G15" s="78" t="n">
        <x:f>'Three-Case Scenarios'!S25</x:f>
        <x:v>0.5962673268792158</x:v>
      </x:c>
      <x:c r="H15" s="78" t="n">
        <x:f>'Three-Case Scenarios'!T25</x:f>
        <x:v>0.5470342448433173</x:v>
      </x:c>
      <x:c r="I15" s="78" t="n">
        <x:f>'Three-Case Scenarios'!U25</x:f>
        <x:v>0.5018662796727681</x:v>
      </x:c>
      <x:c r="J15" s="78" t="n">
        <x:f>'Three-Case Scenarios'!V25</x:f>
        <x:v>0.460427779516301</x:v>
      </x:c>
      <x:c r="K15" s="78" t="n">
        <x:f>'Three-Case Scenarios'!W25</x:f>
        <x:v>0.42241080689568894</x:v>
      </x:c>
    </x:row>
    <x:row r="16">
      <x:c r="A16" t="str">
        <x:v>PV FCF</x:v>
      </x:c>
      <x:c r="B16" s="20" t="n">
        <x:f>B14*B15</x:f>
        <x:v>9.985897908256872</x:v>
      </x:c>
      <x:c r="C16" s="20" t="n">
        <x:f>C14*C15</x:f>
        <x:v>19.367999546166157</x:v>
      </x:c>
      <x:c r="D16" s="20" t="n">
        <x:f>D14*D15</x:f>
        <x:v>35.2984940404964</x:v>
      </x:c>
      <x:c r="E16" s="20" t="n">
        <x:f>E14*E15</x:f>
        <x:v>45.303955631751826</x:v>
      </x:c>
      <x:c r="F16" s="20" t="n">
        <x:f>F14*F15</x:f>
        <x:v>57.24156368790429</x:v>
      </x:c>
      <x:c r="G16" s="20" t="n">
        <x:f>G14*G15</x:f>
        <x:v>66.83833018056798</x:v>
      </x:c>
      <x:c r="H16" s="20" t="n">
        <x:f>H14*H15</x:f>
        <x:v>70.99997115840608</x:v>
      </x:c>
      <x:c r="I16" s="20" t="n">
        <x:f>I14*I15</x:f>
        <x:v>74.38518234864536</x:v>
      </x:c>
      <x:c r="J16" s="20" t="n">
        <x:f>J14*J15</x:f>
        <x:v>76.89755817218865</x:v>
      </x:c>
      <x:c r="K16" s="20" t="n">
        <x:f>K14*K15</x:f>
        <x:v>79.17653688198786</x:v>
      </x:c>
    </x:row>
    <x:row r="17">
      <x:c r="A17" t="str">
        <x:v>Cumulative PV FCF</x:v>
      </x:c>
      <x:c r="B17" s="20" t="n">
        <x:f>B16</x:f>
        <x:v>9.985897908256872</x:v>
      </x:c>
      <x:c r="C17" s="20" t="n">
        <x:f>B17+C16</x:f>
        <x:v>29.353897454423027</x:v>
      </x:c>
      <x:c r="D17" s="20" t="n">
        <x:f>C17+D16</x:f>
        <x:v>64.65239149491943</x:v>
      </x:c>
      <x:c r="E17" s="20" t="n">
        <x:f>D17+E16</x:f>
        <x:v>109.95634712667126</x:v>
      </x:c>
      <x:c r="F17" s="20" t="n">
        <x:f>E17+F16</x:f>
        <x:v>167.19791081457555</x:v>
      </x:c>
      <x:c r="G17" s="20" t="n">
        <x:f>F17+G16</x:f>
        <x:v>234.03624099514354</x:v>
      </x:c>
      <x:c r="H17" s="20" t="n">
        <x:f>G17+H16</x:f>
        <x:v>305.0362121535496</x:v>
      </x:c>
      <x:c r="I17" s="20" t="n">
        <x:f>H17+I16</x:f>
        <x:v>379.42139450219497</x:v>
      </x:c>
      <x:c r="J17" s="20" t="n">
        <x:f>I17+J16</x:f>
        <x:v>456.31895267438364</x:v>
      </x:c>
      <x:c r="K17" s="20" t="n">
        <x:f>J17+K16</x:f>
        <x:v>535.4954895563715</x:v>
      </x:c>
    </x:row>
    <x:row r="20" ht="21" customHeight="1">
      <x:c r="A20" s="70" t="str">
        <x:v>DCF Sensitivity — Intrinsic Value / Share</x:v>
      </x:c>
    </x:row>
    <x:row r="21">
      <x:c r="A21" s="12" t="str">
        <x:v>WACC \ Terminal Growth</x:v>
      </x:c>
      <x:c r="B21" s="80" t="n">
        <x:v>0.02</x:v>
      </x:c>
      <x:c r="C21" s="80" t="n">
        <x:v>0.025</x:v>
      </x:c>
      <x:c r="D21" s="80" t="n">
        <x:v>0.03</x:v>
      </x:c>
      <x:c r="E21" s="80" t="n">
        <x:v>0.035</x:v>
      </x:c>
      <x:c r="F21" s="80" t="n">
        <x:v>0.04</x:v>
      </x:c>
    </x:row>
    <x:row r="22">
      <x:c r="A22" s="38" t="n">
        <x:v>0.08</x:v>
      </x:c>
      <x:c r="B22" s="18" t="n">
        <x:f>(('Three-Case Scenarios'!N23/(1+$A22)^1+'Three-Case Scenarios'!O23/(1+$A22)^2+'Three-Case Scenarios'!P23/(1+$A22)^3+'Three-Case Scenarios'!Q23/(1+$A22)^4+'Three-Case Scenarios'!R23/(1+$A22)^5+'Three-Case Scenarios'!S23/(1+$A22)^6+'Three-Case Scenarios'!T23/(1+$A22)^7+'Three-Case Scenarios'!U23/(1+$A22)^8+'Three-Case Scenarios'!V23/(1+$A22)^9+'Three-Case Scenarios'!W23/(1+$A22)^10)+('Three-Case Scenarios'!W23*(1+B$21)/($A22-B$21))/(1+$A22)^10-'Company Data'!B14)/'Company Data'!B9</x:f>
        <x:v>177.2286519695375</x:v>
      </x:c>
      <x:c r="C22" s="18" t="n">
        <x:f>(('Three-Case Scenarios'!N23/(1+$A22)^1+'Three-Case Scenarios'!O23/(1+$A22)^2+'Three-Case Scenarios'!P23/(1+$A22)^3+'Three-Case Scenarios'!Q23/(1+$A22)^4+'Three-Case Scenarios'!R23/(1+$A22)^5+'Three-Case Scenarios'!S23/(1+$A22)^6+'Three-Case Scenarios'!T23/(1+$A22)^7+'Three-Case Scenarios'!U23/(1+$A22)^8+'Three-Case Scenarios'!V23/(1+$A22)^9+'Three-Case Scenarios'!W23/(1+$A22)^10)+('Three-Case Scenarios'!W23*(1+C$21)/($A22-C$21))/(1+$A22)^10-'Company Data'!B14)/'Company Data'!B9</x:f>
        <x:v>188.8452676528828</x:v>
      </x:c>
      <x:c r="D22" s="18" t="n">
        <x:f>(('Three-Case Scenarios'!N23/(1+$A22)^1+'Three-Case Scenarios'!O23/(1+$A22)^2+'Three-Case Scenarios'!P23/(1+$A22)^3+'Three-Case Scenarios'!Q23/(1+$A22)^4+'Three-Case Scenarios'!R23/(1+$A22)^5+'Three-Case Scenarios'!S23/(1+$A22)^6+'Three-Case Scenarios'!T23/(1+$A22)^7+'Three-Case Scenarios'!U23/(1+$A22)^8+'Three-Case Scenarios'!V23/(1+$A22)^9+'Three-Case Scenarios'!W23/(1+$A22)^10)+('Three-Case Scenarios'!W23*(1+D$21)/($A22-D$21))/(1+$A22)^10-'Company Data'!B14)/'Company Data'!B9</x:f>
        <x:v>202.7852064728972</x:v>
      </x:c>
      <x:c r="E22" s="18" t="n">
        <x:f>(('Three-Case Scenarios'!N23/(1+$A22)^1+'Three-Case Scenarios'!O23/(1+$A22)^2+'Three-Case Scenarios'!P23/(1+$A22)^3+'Three-Case Scenarios'!Q23/(1+$A22)^4+'Three-Case Scenarios'!R23/(1+$A22)^5+'Three-Case Scenarios'!S23/(1+$A22)^6+'Three-Case Scenarios'!T23/(1+$A22)^7+'Three-Case Scenarios'!U23/(1+$A22)^8+'Three-Case Scenarios'!V23/(1+$A22)^9+'Three-Case Scenarios'!W23/(1+$A22)^10)+('Three-Case Scenarios'!W23*(1+E$21)/($A22-E$21))/(1+$A22)^10-'Company Data'!B14)/'Company Data'!B9</x:f>
        <x:v>219.82290947513695</x:v>
      </x:c>
      <x:c r="F22" s="18" t="n">
        <x:f>(('Three-Case Scenarios'!N23/(1+$A22)^1+'Three-Case Scenarios'!O23/(1+$A22)^2+'Three-Case Scenarios'!P23/(1+$A22)^3+'Three-Case Scenarios'!Q23/(1+$A22)^4+'Three-Case Scenarios'!R23/(1+$A22)^5+'Three-Case Scenarios'!S23/(1+$A22)^6+'Three-Case Scenarios'!T23/(1+$A22)^7+'Three-Case Scenarios'!U23/(1+$A22)^8+'Three-Case Scenarios'!V23/(1+$A22)^9+'Three-Case Scenarios'!W23/(1+$A22)^10)+('Three-Case Scenarios'!W23*(1+F$21)/($A22-F$21))/(1+$A22)^10-'Company Data'!B14)/'Company Data'!B9</x:f>
        <x:v>241.12003822793665</x:v>
      </x:c>
    </x:row>
    <x:row r="23">
      <x:c r="A23" s="38" t="n">
        <x:v>0.085</x:v>
      </x:c>
      <x:c r="B23" s="18" t="n">
        <x:f>(('Three-Case Scenarios'!N23/(1+$A23)^1+'Three-Case Scenarios'!O23/(1+$A23)^2+'Three-Case Scenarios'!P23/(1+$A23)^3+'Three-Case Scenarios'!Q23/(1+$A23)^4+'Three-Case Scenarios'!R23/(1+$A23)^5+'Three-Case Scenarios'!S23/(1+$A23)^6+'Three-Case Scenarios'!T23/(1+$A23)^7+'Three-Case Scenarios'!U23/(1+$A23)^8+'Three-Case Scenarios'!V23/(1+$A23)^9+'Three-Case Scenarios'!W23/(1+$A23)^10)+('Three-Case Scenarios'!W23*(1+B$21)/($A23-B$21))/(1+$A23)^10-'Company Data'!B14)/'Company Data'!B9</x:f>
        <x:v>161.48405206129843</x:v>
      </x:c>
      <x:c r="C23" s="18" t="n">
        <x:f>(('Three-Case Scenarios'!N23/(1+$A23)^1+'Three-Case Scenarios'!O23/(1+$A23)^2+'Three-Case Scenarios'!P23/(1+$A23)^3+'Three-Case Scenarios'!Q23/(1+$A23)^4+'Three-Case Scenarios'!R23/(1+$A23)^5+'Three-Case Scenarios'!S23/(1+$A23)^6+'Three-Case Scenarios'!T23/(1+$A23)^7+'Three-Case Scenarios'!U23/(1+$A23)^8+'Three-Case Scenarios'!V23/(1+$A23)^9+'Three-Case Scenarios'!W23/(1+$A23)^10)+('Three-Case Scenarios'!W23*(1+C$21)/($A23-C$21))/(1+$A23)^10-'Company Data'!B14)/'Company Data'!B9</x:f>
        <x:v>170.91325776535484</x:v>
      </x:c>
      <x:c r="D23" s="18" t="n">
        <x:f>(('Three-Case Scenarios'!N23/(1+$A23)^1+'Three-Case Scenarios'!O23/(1+$A23)^2+'Three-Case Scenarios'!P23/(1+$A23)^3+'Three-Case Scenarios'!Q23/(1+$A23)^4+'Three-Case Scenarios'!R23/(1+$A23)^5+'Three-Case Scenarios'!S23/(1+$A23)^6+'Three-Case Scenarios'!T23/(1+$A23)^7+'Three-Case Scenarios'!U23/(1+$A23)^8+'Three-Case Scenarios'!V23/(1+$A23)^9+'Three-Case Scenarios'!W23/(1+$A23)^10)+('Three-Case Scenarios'!W23*(1+D$21)/($A23-D$21))/(1+$A23)^10-'Company Data'!B14)/'Company Data'!B9</x:f>
        <x:v>182.05686450651243</x:v>
      </x:c>
      <x:c r="E23" s="18" t="n">
        <x:f>(('Three-Case Scenarios'!N23/(1+$A23)^1+'Three-Case Scenarios'!O23/(1+$A23)^2+'Three-Case Scenarios'!P23/(1+$A23)^3+'Three-Case Scenarios'!Q23/(1+$A23)^4+'Three-Case Scenarios'!R23/(1+$A23)^5+'Three-Case Scenarios'!S23/(1+$A23)^6+'Three-Case Scenarios'!T23/(1+$A23)^7+'Three-Case Scenarios'!U23/(1+$A23)^8+'Three-Case Scenarios'!V23/(1+$A23)^9+'Three-Case Scenarios'!W23/(1+$A23)^10)+('Three-Case Scenarios'!W23*(1+E$21)/($A23-E$21))/(1+$A23)^10-'Company Data'!B14)/'Company Data'!B9</x:f>
        <x:v>195.42919259590153</x:v>
      </x:c>
      <x:c r="F23" s="18" t="n">
        <x:f>(('Three-Case Scenarios'!N23/(1+$A23)^1+'Three-Case Scenarios'!O23/(1+$A23)^2+'Three-Case Scenarios'!P23/(1+$A23)^3+'Three-Case Scenarios'!Q23/(1+$A23)^4+'Three-Case Scenarios'!R23/(1+$A23)^5+'Three-Case Scenarios'!S23/(1+$A23)^6+'Three-Case Scenarios'!T23/(1+$A23)^7+'Three-Case Scenarios'!U23/(1+$A23)^8+'Three-Case Scenarios'!V23/(1+$A23)^9+'Three-Case Scenarios'!W23/(1+$A23)^10)+('Three-Case Scenarios'!W23*(1+F$21)/($A23-F$21))/(1+$A23)^10-'Company Data'!B14)/'Company Data'!B9</x:f>
        <x:v>211.7731491495993</x:v>
      </x:c>
    </x:row>
    <x:row r="24">
      <x:c r="A24" s="38" t="n">
        <x:v>0.09</x:v>
      </x:c>
      <x:c r="B24" s="18" t="n">
        <x:f>(('Three-Case Scenarios'!N23/(1+$A24)^1+'Three-Case Scenarios'!O23/(1+$A24)^2+'Three-Case Scenarios'!P23/(1+$A24)^3+'Three-Case Scenarios'!Q23/(1+$A24)^4+'Three-Case Scenarios'!R23/(1+$A24)^5+'Three-Case Scenarios'!S23/(1+$A24)^6+'Three-Case Scenarios'!T23/(1+$A24)^7+'Three-Case Scenarios'!U23/(1+$A24)^8+'Three-Case Scenarios'!V23/(1+$A24)^9+'Three-Case Scenarios'!W23/(1+$A24)^10)+('Three-Case Scenarios'!W23*(1+B$21)/($A24-B$21))/(1+$A24)^10-'Company Data'!B14)/'Company Data'!B9</x:f>
        <x:v>148.07060168775854</x:v>
      </x:c>
      <x:c r="C24" s="18" t="n">
        <x:f>(('Three-Case Scenarios'!N23/(1+$A24)^1+'Three-Case Scenarios'!O23/(1+$A24)^2+'Three-Case Scenarios'!P23/(1+$A24)^3+'Three-Case Scenarios'!Q23/(1+$A24)^4+'Three-Case Scenarios'!R23/(1+$A24)^5+'Three-Case Scenarios'!S23/(1+$A24)^6+'Three-Case Scenarios'!T23/(1+$A24)^7+'Three-Case Scenarios'!U23/(1+$A24)^8+'Three-Case Scenarios'!V23/(1+$A24)^9+'Three-Case Scenarios'!W23/(1+$A24)^10)+('Three-Case Scenarios'!W23*(1+C$21)/($A24-C$21))/(1+$A24)^10-'Company Data'!B14)/'Company Data'!B9</x:f>
        <x:v>155.8251674405251</x:v>
      </x:c>
      <x:c r="D24" s="18" t="n">
        <x:f>(('Three-Case Scenarios'!N23/(1+$A24)^1+'Three-Case Scenarios'!O23/(1+$A24)^2+'Three-Case Scenarios'!P23/(1+$A24)^3+'Three-Case Scenarios'!Q23/(1+$A24)^4+'Three-Case Scenarios'!R23/(1+$A24)^5+'Three-Case Scenarios'!S23/(1+$A24)^6+'Three-Case Scenarios'!T23/(1+$A24)^7+'Three-Case Scenarios'!U23/(1+$A24)^8+'Three-Case Scenarios'!V23/(1+$A24)^9+'Three-Case Scenarios'!W23/(1+$A24)^10)+('Three-Case Scenarios'!W23*(1+D$21)/($A24-D$21))/(1+$A24)^10-'Company Data'!B14)/'Company Data'!B9</x:f>
        <x:v>164.87216081875277</x:v>
      </x:c>
      <x:c r="E24" s="18" t="n">
        <x:f>(('Three-Case Scenarios'!N23/(1+$A24)^1+'Three-Case Scenarios'!O23/(1+$A24)^2+'Three-Case Scenarios'!P23/(1+$A24)^3+'Three-Case Scenarios'!Q23/(1+$A24)^4+'Three-Case Scenarios'!R23/(1+$A24)^5+'Three-Case Scenarios'!S23/(1+$A24)^6+'Three-Case Scenarios'!T23/(1+$A24)^7+'Three-Case Scenarios'!U23/(1+$A24)^8+'Three-Case Scenarios'!V23/(1+$A24)^9+'Three-Case Scenarios'!W23/(1+$A24)^10)+('Three-Case Scenarios'!W23*(1+E$21)/($A24-E$21))/(1+$A24)^10-'Company Data'!B14)/'Company Data'!B9</x:f>
        <x:v>175.56406208393093</x:v>
      </x:c>
      <x:c r="F24" s="18" t="n">
        <x:f>(('Three-Case Scenarios'!N23/(1+$A24)^1+'Three-Case Scenarios'!O23/(1+$A24)^2+'Three-Case Scenarios'!P23/(1+$A24)^3+'Three-Case Scenarios'!Q23/(1+$A24)^4+'Three-Case Scenarios'!R23/(1+$A24)^5+'Three-Case Scenarios'!S23/(1+$A24)^6+'Three-Case Scenarios'!T23/(1+$A24)^7+'Three-Case Scenarios'!U23/(1+$A24)^8+'Three-Case Scenarios'!V23/(1+$A24)^9+'Three-Case Scenarios'!W23/(1+$A24)^10)+('Three-Case Scenarios'!W23*(1+F$21)/($A24-F$21))/(1+$A24)^10-'Company Data'!B14)/'Company Data'!B9</x:f>
        <x:v>188.39434360214472</x:v>
      </x:c>
    </x:row>
    <x:row r="25">
      <x:c r="A25" s="38" t="n">
        <x:v>0.095</x:v>
      </x:c>
      <x:c r="B25" s="18" t="n">
        <x:f>(('Three-Case Scenarios'!N23/(1+$A25)^1+'Three-Case Scenarios'!O23/(1+$A25)^2+'Three-Case Scenarios'!P23/(1+$A25)^3+'Three-Case Scenarios'!Q23/(1+$A25)^4+'Three-Case Scenarios'!R23/(1+$A25)^5+'Three-Case Scenarios'!S23/(1+$A25)^6+'Three-Case Scenarios'!T23/(1+$A25)^7+'Three-Case Scenarios'!U23/(1+$A25)^8+'Three-Case Scenarios'!V23/(1+$A25)^9+'Three-Case Scenarios'!W23/(1+$A25)^10)+('Three-Case Scenarios'!W23*(1+B$21)/($A25-B$21))/(1+$A25)^10-'Company Data'!B14)/'Company Data'!B9</x:f>
        <x:v>136.51913389130655</x:v>
      </x:c>
      <x:c r="C25" s="18" t="n">
        <x:f>(('Three-Case Scenarios'!N23/(1+$A25)^1+'Three-Case Scenarios'!O23/(1+$A25)^2+'Three-Case Scenarios'!P23/(1+$A25)^3+'Three-Case Scenarios'!Q23/(1+$A25)^4+'Three-Case Scenarios'!R23/(1+$A25)^5+'Three-Case Scenarios'!S23/(1+$A25)^6+'Three-Case Scenarios'!T23/(1+$A25)^7+'Three-Case Scenarios'!U23/(1+$A25)^8+'Three-Case Scenarios'!V23/(1+$A25)^9+'Three-Case Scenarios'!W23/(1+$A25)^10)+('Three-Case Scenarios'!W23*(1+C$21)/($A25-C$21))/(1+$A25)^10-'Company Data'!B14)/'Company Data'!B9</x:f>
        <x:v>142.96855871621443</x:v>
      </x:c>
      <x:c r="D25" s="18" t="n">
        <x:f>(('Three-Case Scenarios'!N23/(1+$A25)^1+'Three-Case Scenarios'!O23/(1+$A25)^2+'Three-Case Scenarios'!P23/(1+$A25)^3+'Three-Case Scenarios'!Q23/(1+$A25)^4+'Three-Case Scenarios'!R23/(1+$A25)^5+'Three-Case Scenarios'!S23/(1+$A25)^6+'Three-Case Scenarios'!T23/(1+$A25)^7+'Three-Case Scenarios'!U23/(1+$A25)^8+'Three-Case Scenarios'!V23/(1+$A25)^9+'Three-Case Scenarios'!W23/(1+$A25)^10)+('Three-Case Scenarios'!W23*(1+D$21)/($A25-D$21))/(1+$A25)^10-'Company Data'!B14)/'Company Data'!B9</x:f>
        <x:v>150.4102027449543</x:v>
      </x:c>
      <x:c r="E25" s="18" t="n">
        <x:f>(('Three-Case Scenarios'!N23/(1+$A25)^1+'Three-Case Scenarios'!O23/(1+$A25)^2+'Three-Case Scenarios'!P23/(1+$A25)^3+'Three-Case Scenarios'!Q23/(1+$A25)^4+'Three-Case Scenarios'!R23/(1+$A25)^5+'Three-Case Scenarios'!S23/(1+$A25)^6+'Three-Case Scenarios'!T23/(1+$A25)^7+'Three-Case Scenarios'!U23/(1+$A25)^8+'Three-Case Scenarios'!V23/(1+$A25)^9+'Three-Case Scenarios'!W23/(1+$A25)^10)+('Three-Case Scenarios'!W23*(1+E$21)/($A25-E$21))/(1+$A25)^10-'Company Data'!B14)/'Company Data'!B9</x:f>
        <x:v>159.09212077848417</x:v>
      </x:c>
      <x:c r="F25" s="18" t="n">
        <x:f>(('Three-Case Scenarios'!N23/(1+$A25)^1+'Three-Case Scenarios'!O23/(1+$A25)^2+'Three-Case Scenarios'!P23/(1+$A25)^3+'Three-Case Scenarios'!Q23/(1+$A25)^4+'Three-Case Scenarios'!R23/(1+$A25)^5+'Three-Case Scenarios'!S23/(1+$A25)^6+'Three-Case Scenarios'!T23/(1+$A25)^7+'Three-Case Scenarios'!U23/(1+$A25)^8+'Three-Case Scenarios'!V23/(1+$A25)^9+'Three-Case Scenarios'!W23/(1+$A25)^10)+('Three-Case Scenarios'!W23*(1+F$21)/($A25-F$21))/(1+$A25)^10-'Company Data'!B14)/'Company Data'!B9</x:f>
        <x:v>169.3525693635649</x:v>
      </x:c>
    </x:row>
    <x:row r="26">
      <x:c r="A26" s="38" t="n">
        <x:v>0.1</x:v>
      </x:c>
      <x:c r="B26" s="18" t="n">
        <x:f>(('Three-Case Scenarios'!N23/(1+$A26)^1+'Three-Case Scenarios'!O23/(1+$A26)^2+'Three-Case Scenarios'!P23/(1+$A26)^3+'Three-Case Scenarios'!Q23/(1+$A26)^4+'Three-Case Scenarios'!R23/(1+$A26)^5+'Three-Case Scenarios'!S23/(1+$A26)^6+'Three-Case Scenarios'!T23/(1+$A26)^7+'Three-Case Scenarios'!U23/(1+$A26)^8+'Three-Case Scenarios'!V23/(1+$A26)^9+'Three-Case Scenarios'!W23/(1+$A26)^10)+('Three-Case Scenarios'!W23*(1+B$21)/($A26-B$21))/(1+$A26)^10-'Company Data'!B14)/'Company Data'!B9</x:f>
        <x:v>126.47789711538857</x:v>
      </x:c>
      <x:c r="C26" s="18" t="n">
        <x:f>(('Three-Case Scenarios'!N23/(1+$A26)^1+'Three-Case Scenarios'!O23/(1+$A26)^2+'Three-Case Scenarios'!P23/(1+$A26)^3+'Three-Case Scenarios'!Q23/(1+$A26)^4+'Three-Case Scenarios'!R23/(1+$A26)^5+'Three-Case Scenarios'!S23/(1+$A26)^6+'Three-Case Scenarios'!T23/(1+$A26)^7+'Three-Case Scenarios'!U23/(1+$A26)^8+'Three-Case Scenarios'!V23/(1+$A26)^9+'Three-Case Scenarios'!W23/(1+$A26)^10)+('Three-Case Scenarios'!W23*(1+C$21)/($A26-C$21))/(1+$A26)^10-'Company Data'!B14)/'Company Data'!B9</x:f>
        <x:v>131.89443698394226</x:v>
      </x:c>
      <x:c r="D26" s="18" t="n">
        <x:f>(('Three-Case Scenarios'!N23/(1+$A26)^1+'Three-Case Scenarios'!O23/(1+$A26)^2+'Three-Case Scenarios'!P23/(1+$A26)^3+'Three-Case Scenarios'!Q23/(1+$A26)^4+'Three-Case Scenarios'!R23/(1+$A26)^5+'Three-Case Scenarios'!S23/(1+$A26)^6+'Three-Case Scenarios'!T23/(1+$A26)^7+'Three-Case Scenarios'!U23/(1+$A26)^8+'Three-Case Scenarios'!V23/(1+$A26)^9+'Three-Case Scenarios'!W23/(1+$A26)^10)+('Three-Case Scenarios'!W23*(1+D$21)/($A26-D$21))/(1+$A26)^10-'Company Data'!B14)/'Company Data'!B9</x:f>
        <x:v>138.08476826228934</x:v>
      </x:c>
      <x:c r="E26" s="18" t="n">
        <x:f>(('Three-Case Scenarios'!N23/(1+$A26)^1+'Three-Case Scenarios'!O23/(1+$A26)^2+'Three-Case Scenarios'!P23/(1+$A26)^3+'Three-Case Scenarios'!Q23/(1+$A26)^4+'Three-Case Scenarios'!R23/(1+$A26)^5+'Three-Case Scenarios'!S23/(1+$A26)^6+'Three-Case Scenarios'!T23/(1+$A26)^7+'Three-Case Scenarios'!U23/(1+$A26)^8+'Three-Case Scenarios'!V23/(1+$A26)^9+'Three-Case Scenarios'!W23/(1+$A26)^10)+('Three-Case Scenarios'!W23*(1+E$21)/($A26-E$21))/(1+$A26)^10-'Company Data'!B14)/'Company Data'!B9</x:f>
        <x:v>145.22745819884366</x:v>
      </x:c>
      <x:c r="F26" s="18" t="n">
        <x:f>(('Three-Case Scenarios'!N23/(1+$A26)^1+'Three-Case Scenarios'!O23/(1+$A26)^2+'Three-Case Scenarios'!P23/(1+$A26)^3+'Three-Case Scenarios'!Q23/(1+$A26)^4+'Three-Case Scenarios'!R23/(1+$A26)^5+'Three-Case Scenarios'!S23/(1+$A26)^6+'Three-Case Scenarios'!T23/(1+$A26)^7+'Three-Case Scenarios'!U23/(1+$A26)^8+'Three-Case Scenarios'!V23/(1+$A26)^9+'Three-Case Scenarios'!W23/(1+$A26)^10)+('Three-Case Scenarios'!W23*(1+F$21)/($A26-F$21))/(1+$A26)^10-'Company Data'!B14)/'Company Data'!B9</x:f>
        <x:v>153.56059645815708</x:v>
      </x:c>
    </x:row>
  </x:sheetData>
  <x:mergeCells>
    <x:mergeCell ref="A1:K1"/>
    <x:mergeCell ref="A12:K12"/>
    <x:mergeCell ref="A20:F20"/>
  </x:mergeCells>
  <x:conditionalFormatting sqref="B22:F2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Selected Mega-Cap Technology / Internet Peers</x:v>
      </x:c>
    </x:row>
    <x:row r="3">
      <x:c r="A3" s="12" t="str">
        <x:v>Company</x:v>
      </x:c>
      <x:c r="B3" s="12" t="str">
        <x:v>Ticker</x:v>
      </x:c>
      <x:c r="C3" s="12" t="str">
        <x:v>Forward P/E</x:v>
      </x:c>
      <x:c r="D3" s="12" t="str">
        <x:v>EV/Revenue</x:v>
      </x:c>
      <x:c r="E3" s="12" t="str">
        <x:v>EV/EBITDA</x:v>
      </x:c>
      <x:c r="F3" s="12" t="str">
        <x:v>Revenue Growth</x:v>
      </x:c>
      <x:c r="G3" s="12" t="str">
        <x:v>Operating Margin</x:v>
      </x:c>
      <x:c r="H3" s="12" t="str">
        <x:v>ROE</x:v>
      </x:c>
    </x:row>
    <x:row r="4">
      <x:c r="A4" s="26" t="str">
        <x:v>Alphabet Inc.</x:v>
      </x:c>
      <x:c r="B4" s="26" t="str">
        <x:v>GOOGL</x:v>
      </x:c>
      <x:c r="C4" s="32" t="n">
        <x:v>24.045721</x:v>
      </x:c>
      <x:c r="D4" s="32" t="n">
        <x:v>12.2040083263</x:v>
      </x:c>
      <x:c r="E4" s="32" t="n">
        <x:v>24.6680747977</x:v>
      </x:c>
      <x:c r="F4" s="41" t="n">
        <x:v>0.242</x:v>
      </x:c>
      <x:c r="G4" s="41" t="n">
        <x:v>0.3210977721</x:v>
      </x:c>
      <x:c r="H4" s="41" t="n">
        <x:v>0.48676</x:v>
      </x:c>
    </x:row>
    <x:row r="5">
      <x:c r="A5" s="26" t="str">
        <x:v>Microsoft</x:v>
      </x:c>
      <x:c r="B5" s="26" t="str">
        <x:v>MSFT</x:v>
      </x:c>
      <x:c r="C5" s="32" t="n">
        <x:v>21.299555</x:v>
      </x:c>
      <x:c r="D5" s="32" t="n">
        <x:v>11.3419553454</x:v>
      </x:c>
      <x:c r="E5" s="32" t="n">
        <x:v>19.3768592339</x:v>
      </x:c>
      <x:c r="F5" s="41" t="n">
        <x:v>0.177</x:v>
      </x:c>
      <x:c r="G5" s="41" t="n">
        <x:v>0.4678081841</x:v>
      </x:c>
      <x:c r="H5" s="41" t="n">
        <x:v>0.34</x:v>
      </x:c>
    </x:row>
    <x:row r="6">
      <x:c r="A6" s="26" t="str">
        <x:v>Meta Platforms</x:v>
      </x:c>
      <x:c r="B6" s="26" t="str">
        <x:v>META</x:v>
      </x:c>
      <x:c r="C6" s="32" t="n">
        <x:v>16.851542</x:v>
      </x:c>
      <x:c r="D6" s="32" t="n">
        <x:v>7.5875117143</x:v>
      </x:c>
      <x:c r="E6" s="32" t="n">
        <x:v>13.9057215131</x:v>
      </x:c>
      <x:c r="F6" s="41" t="n">
        <x:v>0.28</x:v>
      </x:c>
      <x:c r="G6" s="41" t="n">
        <x:v>0.4143785516</x:v>
      </x:c>
      <x:c r="H6" s="41" t="n">
        <x:v>0.298</x:v>
      </x:c>
    </x:row>
    <x:row r="7">
      <x:c r="A7" s="26" t="str">
        <x:v>Amazon</x:v>
      </x:c>
      <x:c r="B7" s="26" t="str">
        <x:v>AMZN</x:v>
      </x:c>
      <x:c r="C7" s="32" t="n">
        <x:v>26.569765</x:v>
      </x:c>
      <x:c r="D7" s="32" t="n">
        <x:v>4.2756675705</x:v>
      </x:c>
      <x:c r="E7" s="32" t="n">
        <x:v>18.1474897595</x:v>
      </x:c>
      <x:c r="F7" s="41" t="n">
        <x:v>0.196</x:v>
      </x:c>
      <x:c r="G7" s="41" t="n">
        <x:v>0.111552968</x:v>
      </x:c>
      <x:c r="H7" s="41" t="n">
        <x:v>0.306</x:v>
      </x:c>
    </x:row>
    <x:row r="8">
      <x:c r="A8" s="26" t="str">
        <x:v>Apple</x:v>
      </x:c>
      <x:c r="B8" s="26" t="str">
        <x:v>AAPL</x:v>
      </x:c>
      <x:c r="C8" s="32" t="n">
        <x:v>32.93679</x:v>
      </x:c>
      <x:c r="D8" s="32" t="n">
        <x:v>11.0085110195</x:v>
      </x:c>
      <x:c r="E8" s="32" t="n">
        <x:v>27.276376192</x:v>
      </x:c>
      <x:c r="F8" s="41" t="n">
        <x:v>0.164</x:v>
      </x:c>
      <x:c r="G8" s="41" t="n">
        <x:v>0.3197079976</x:v>
      </x:c>
      <x:c r="H8" s="41" t="n">
        <x:v>1.49</x:v>
      </x:c>
    </x:row>
    <x:row r="9">
      <x:c r="A9" s="26" t="str">
        <x:v>Netflix</x:v>
      </x:c>
      <x:c r="B9" s="26" t="str">
        <x:v>NFLX</x:v>
      </x:c>
      <x:c r="C9" s="32" t="n">
        <x:v>19.422207</x:v>
      </x:c>
      <x:c r="D9" s="32" t="n">
        <x:v>6.95764392</x:v>
      </x:c>
      <x:c r="E9" s="32" t="n">
        <x:v>21.3464343642</x:v>
      </x:c>
      <x:c r="F9" s="41" t="n">
        <x:v>0.134</x:v>
      </x:c>
      <x:c r="G9" s="41" t="n">
        <x:v>0.2949470461</x:v>
      </x:c>
      <x:c r="H9" s="41" t="n">
        <x:v>0.495</x:v>
      </x:c>
    </x:row>
    <x:row r="11">
      <x:c r="A11" t="str">
        <x:v>Source</x:v>
      </x:c>
      <x:c r="B11" s="48" t="str">
        <x:v>Yahoo Finance / uploaded model snapshot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</x:cols>
  <x:sheetData>
    <x:row r="1" ht="28" customHeight="1">
      <x:c r="A1" s="4" t="str">
        <x:v>Comparative Analysis — GOOGL vs Selected Peers</x:v>
      </x:c>
    </x:row>
    <x:row r="3">
      <x:c r="A3" s="12" t="str">
        <x:v>Metric</x:v>
      </x:c>
      <x:c r="B3" s="12" t="str">
        <x:v>GOOGL</x:v>
      </x:c>
      <x:c r="C3" s="12" t="str">
        <x:v>Peer Median</x:v>
      </x:c>
      <x:c r="D3" s="12" t="str">
        <x:v>Premium / (Discount)</x:v>
      </x:c>
      <x:c r="E3" s="12" t="str">
        <x:v>Direction</x:v>
      </x:c>
      <x:c r="F3" s="12" t="str">
        <x:v>Signal</x:v>
      </x:c>
      <x:c r="G3" s="12" t="str">
        <x:v>Notes</x:v>
      </x:c>
    </x:row>
    <x:row r="4">
      <x:c r="A4" t="str">
        <x:v>Forward P/E</x:v>
      </x:c>
      <x:c r="B4" s="82" t="n">
        <x:f>'Peer Comps'!C4</x:f>
        <x:v>24.045721</x:v>
      </x:c>
      <x:c r="C4" s="82" t="n">
        <x:f>MEDIAN('Peer Comps'!C5:C9)</x:f>
        <x:v>21.299555</x:v>
      </x:c>
      <x:c r="D4" s="38" t="n">
        <x:f>B4/C4-1</x:f>
        <x:v>0.12893067484273724</x:v>
      </x:c>
      <x:c r="E4" t="str">
        <x:v>Lower</x:v>
      </x:c>
      <x:c r="F4" t="str">
        <x:f>IF(B4&lt;C4,"Attractive","Premium")</x:f>
        <x:v>Premium</x:v>
      </x:c>
      <x:c r="G4" t="str">
        <x:v>Lower is better</x:v>
      </x:c>
    </x:row>
    <x:row r="5">
      <x:c r="A5" t="str">
        <x:v>EV/Revenue</x:v>
      </x:c>
      <x:c r="B5" s="82" t="n">
        <x:f>'Peer Comps'!D4</x:f>
        <x:v>12.2040083263</x:v>
      </x:c>
      <x:c r="C5" s="82" t="n">
        <x:f>MEDIAN('Peer Comps'!D5:D9)</x:f>
        <x:v>7.5875117143</x:v>
      </x:c>
      <x:c r="D5" s="38" t="n">
        <x:f>B5/C5-1</x:f>
        <x:v>0.608433539983787</x:v>
      </x:c>
      <x:c r="E5" t="str">
        <x:v>Lower</x:v>
      </x:c>
      <x:c r="F5" t="str">
        <x:f>IF(B5&lt;C5,"Attractive","Premium")</x:f>
        <x:v>Premium</x:v>
      </x:c>
      <x:c r="G5" t="str">
        <x:v>Lower is better</x:v>
      </x:c>
    </x:row>
    <x:row r="6">
      <x:c r="A6" t="str">
        <x:v>EV/EBITDA</x:v>
      </x:c>
      <x:c r="B6" s="82" t="n">
        <x:f>'Peer Comps'!E4</x:f>
        <x:v>24.6680747977</x:v>
      </x:c>
      <x:c r="C6" s="82" t="n">
        <x:f>MEDIAN('Peer Comps'!E5:E9)</x:f>
        <x:v>19.3768592339</x:v>
      </x:c>
      <x:c r="D6" s="38" t="n">
        <x:f>B6/C6-1</x:f>
        <x:v>0.2730687930344753</x:v>
      </x:c>
      <x:c r="E6" t="str">
        <x:v>Lower</x:v>
      </x:c>
      <x:c r="F6" t="str">
        <x:f>IF(B6&lt;C6,"Attractive","Premium")</x:f>
        <x:v>Premium</x:v>
      </x:c>
      <x:c r="G6" t="str">
        <x:v>Lower is better</x:v>
      </x:c>
    </x:row>
    <x:row r="7">
      <x:c r="A7" t="str">
        <x:v>Revenue Growth</x:v>
      </x:c>
      <x:c r="B7" s="74" t="n">
        <x:f>'Peer Comps'!F4</x:f>
        <x:v>0.242</x:v>
      </x:c>
      <x:c r="C7" s="74" t="n">
        <x:f>MEDIAN('Peer Comps'!F5:F9)</x:f>
        <x:v>0.177</x:v>
      </x:c>
      <x:c r="D7" s="38" t="n">
        <x:f>B7/C7-1</x:f>
        <x:v>0.36723163841807915</x:v>
      </x:c>
      <x:c r="E7" t="str">
        <x:v>Higher</x:v>
      </x:c>
      <x:c r="F7" t="str">
        <x:f>IF(B7&gt;C7,"Better","Worse")</x:f>
        <x:v>Better</x:v>
      </x:c>
      <x:c r="G7" t="str">
        <x:v>Higher is better</x:v>
      </x:c>
    </x:row>
    <x:row r="8">
      <x:c r="A8" t="str">
        <x:v>Operating Margin</x:v>
      </x:c>
      <x:c r="B8" s="74" t="n">
        <x:f>'Peer Comps'!G4</x:f>
        <x:v>0.3210977721</x:v>
      </x:c>
      <x:c r="C8" s="74" t="n">
        <x:f>MEDIAN('Peer Comps'!G5:G9)</x:f>
        <x:v>0.3197079976</x:v>
      </x:c>
      <x:c r="D8" s="38" t="n">
        <x:f>B8/C8-1</x:f>
        <x:v>0.004347011993546701</x:v>
      </x:c>
      <x:c r="E8" t="str">
        <x:v>Higher</x:v>
      </x:c>
      <x:c r="F8" t="str">
        <x:f>IF(B8&gt;C8,"Better","Worse")</x:f>
        <x:v>Better</x:v>
      </x:c>
      <x:c r="G8" t="str">
        <x:v>Higher is better</x:v>
      </x:c>
    </x:row>
    <x:row r="9">
      <x:c r="A9" t="str">
        <x:v>ROE</x:v>
      </x:c>
      <x:c r="B9" s="74" t="n">
        <x:f>'Peer Comps'!H4</x:f>
        <x:v>0.48676</x:v>
      </x:c>
      <x:c r="C9" s="74" t="n">
        <x:f>MEDIAN('Peer Comps'!H5:H9)</x:f>
        <x:v>0.34</x:v>
      </x:c>
      <x:c r="D9" s="38" t="n">
        <x:f>B9/C9-1</x:f>
        <x:v>0.4316470588235295</x:v>
      </x:c>
      <x:c r="E9" t="str">
        <x:v>Higher</x:v>
      </x:c>
      <x:c r="F9" t="str">
        <x:f>IF(B9&gt;C9,"Better","Worse")</x:f>
        <x:v>Better</x:v>
      </x:c>
      <x:c r="G9" t="str">
        <x:v>Higher is better</x:v>
      </x:c>
    </x:row>
    <x:row r="12" ht="21" customHeight="1">
      <x:c r="A12" s="70" t="str">
        <x:v>Relative Valuation Cross-Check</x:v>
      </x:c>
    </x:row>
    <x:row r="13">
      <x:c r="A13" s="12" t="str">
        <x:v>Method</x:v>
      </x:c>
      <x:c r="B13" s="12" t="str">
        <x:v>Implied Value / Share</x:v>
      </x:c>
      <x:c r="C13" s="12" t="str">
        <x:v>Comment</x:v>
      </x:c>
    </x:row>
    <x:row r="14">
      <x:c r="A14" t="str">
        <x:v>Peer Forward P/E</x:v>
      </x:c>
      <x:c r="B14" s="18" t="n">
        <x:f>MEDIAN('Peer Comps'!C5:C9)*'Historical Financials'!G12</x:f>
        <x:v>230.24818955000003</x:v>
      </x:c>
      <x:c r="C14" t="str">
        <x:v>Peer median forward P/E × FY2025 EPS</x:v>
      </x:c>
    </x:row>
    <x:row r="15">
      <x:c r="A15" t="str">
        <x:v>Peer EV/Revenue</x:v>
      </x:c>
      <x:c r="B15" s="18" t="n">
        <x:f>(MEDIAN('Peer Comps'!D5:D9)*'Historical Financials'!G4-'Company Data'!B14)/'Company Data'!B9</x:f>
        <x:v>259.871048943245</x:v>
      </x:c>
      <x:c r="C15" t="str">
        <x:v>Peer median EV/Revenue on FY2025 revenue</x:v>
      </x:c>
    </x:row>
    <x:row r="16">
      <x:c r="A16" t="str">
        <x:v>Peer EV/EBITDA</x:v>
      </x:c>
      <x:c r="B16" s="18" t="n">
        <x:f>(MEDIAN('Peer Comps'!E5:E9)*('Historical Financials'!G9+'Historical Financials'!G18)-'Company Data'!B14)/'Company Data'!B9</x:f>
        <x:v>247.88381912093783</x:v>
      </x:c>
      <x:c r="C16" t="str">
        <x:v>EBITDA proxy = EBIT + depreciation</x:v>
      </x:c>
    </x:row>
  </x:sheetData>
  <x:mergeCells>
    <x:mergeCell ref="A1:G1"/>
    <x:mergeCell ref="A12:C12"/>
  </x:mergeCells>
  <x:conditionalFormatting sqref="F4:F9">
    <x:cfRule type="expression" dxfId="0" priority="1">
      <x:formula>OR(F4="Better",F4="Attractive")</x:formula>
    </x:cfRule>
    <x:cfRule type="expression" dxfId="1" priority="2">
      <x:formula>OR(F4="Worse",F4="Premium")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6" max="6" width="24" hidden="0" customWidth="1"/>
    <x:col min="7" max="7" width="18" hidden="0" customWidth="1"/>
  </x:cols>
  <x:sheetData>
    <x:row r="1" ht="28" customHeight="1">
      <x:c r="A1" s="4" t="str">
        <x:v>GOOGL Long-Term Value Investing Dashboard</x:v>
      </x:c>
    </x:row>
    <x:row r="3" ht="21" customHeight="1">
      <x:c r="A3" s="70" t="str">
        <x:v>Valuation Range</x:v>
      </x:c>
    </x:row>
    <x:row r="4">
      <x:c r="A4" t="str">
        <x:v>Current Price</x:v>
      </x:c>
      <x:c r="B4" s="72" t="n">
        <x:f>'Company Data'!B8</x:f>
        <x:v>354.3</x:v>
      </x:c>
      <x:c r="F4" s="12" t="str">
        <x:v>Scenario</x:v>
      </x:c>
      <x:c r="G4" s="12" t="str">
        <x:v>Value / Share</x:v>
      </x:c>
    </x:row>
    <x:row r="5">
      <x:c r="A5" t="str">
        <x:v>Market Cap ($bn)</x:v>
      </x:c>
      <x:c r="B5" s="76" t="n">
        <x:f>'Company Data'!B10</x:f>
        <x:v>4333.065732096</x:v>
      </x:c>
      <x:c r="F5" t="str">
        <x:v>Bear</x:v>
      </x:c>
      <x:c r="G5" s="72" t="n">
        <x:f>'Three-Case Scenarios'!B39</x:f>
        <x:v>53.09923068198337</x:v>
      </x:c>
    </x:row>
    <x:row r="6">
      <x:c r="A6" t="str">
        <x:v>Enterprise Value ($bn)</x:v>
      </x:c>
      <x:c r="B6" s="76" t="n">
        <x:f>'Company Data'!B11</x:f>
        <x:v>4271.622586368</x:v>
      </x:c>
      <x:c r="F6" t="str">
        <x:v>Base</x:v>
      </x:c>
      <x:c r="G6" s="72" t="n">
        <x:f>'Three-Case Scenarios'!C39</x:f>
        <x:v>164.87216081875277</x:v>
      </x:c>
    </x:row>
    <x:row r="7">
      <x:c r="A7" t="str">
        <x:v>2025 Revenue ($bn)</x:v>
      </x:c>
      <x:c r="B7" s="76" t="n">
        <x:f>'Historical Financials'!G4</x:f>
        <x:v>402.836</x:v>
      </x:c>
      <x:c r="F7" t="str">
        <x:v>Bull</x:v>
      </x:c>
      <x:c r="G7" s="72" t="n">
        <x:f>'Three-Case Scenarios'!D39</x:f>
        <x:v>336.1220144831956</x:v>
      </x:c>
    </x:row>
    <x:row r="8">
      <x:c r="A8" t="str">
        <x:v>Revenue CAGR (2020–25)</x:v>
      </x:c>
      <x:c r="B8" s="74" t="n">
        <x:f>('Historical Financials'!G4/'Historical Financials'!B4)^(1/5)-1</x:f>
        <x:v>0.1715483907713573</x:v>
      </x:c>
      <x:c r="F8" t="str">
        <x:v>Probability Weighted</x:v>
      </x:c>
      <x:c r="G8" s="72" t="n">
        <x:f>'Three-Case Scenarios'!E39</x:f>
        <x:v>179.74139170067113</x:v>
      </x:c>
    </x:row>
    <x:row r="9">
      <x:c r="A9" t="str">
        <x:v>2025 Operating Margin</x:v>
      </x:c>
      <x:c r="B9" s="74" t="n">
        <x:f>'Historical Financials'!G10</x:f>
        <x:v>0.3203263859238002</x:v>
      </x:c>
    </x:row>
    <x:row r="10">
      <x:c r="A10" t="str">
        <x:v>FCF CAGR (2020–25)</x:v>
      </x:c>
      <x:c r="B10" s="74" t="n">
        <x:f>('Historical Financials'!G16/'Historical Financials'!B16)^(1/5)-1</x:f>
        <x:v>0.1132802934679571</x:v>
      </x:c>
    </x:row>
    <x:row r="11">
      <x:c r="A11" t="str">
        <x:v>2025 FCF Margin</x:v>
      </x:c>
      <x:c r="B11" s="74" t="n">
        <x:f>'Historical Financials'!G17</x:f>
        <x:v>0.18187550268595654</x:v>
      </x:c>
    </x:row>
    <x:row r="12">
      <x:c r="A12" t="str">
        <x:v>Base DCF Value / Share</x:v>
      </x:c>
      <x:c r="B12" s="72" t="n">
        <x:f>'Three-Case Scenarios'!C39</x:f>
        <x:v>164.87216081875277</x:v>
      </x:c>
    </x:row>
    <x:row r="13">
      <x:c r="A13" t="str">
        <x:v>Probability-Weighted Value / Share</x:v>
      </x:c>
      <x:c r="B13" s="72" t="n">
        <x:f>'Three-Case Scenarios'!E39</x:f>
        <x:v>179.74139170067113</x:v>
      </x:c>
    </x:row>
    <x:row r="14">
      <x:c r="A14" t="str">
        <x:v>Base Upside / (Downside)</x:v>
      </x:c>
      <x:c r="B14" s="74" t="n">
        <x:f>'Three-Case Scenarios'!C40</x:f>
        <x:v>-0.534653793906992</x:v>
      </x:c>
    </x:row>
    <x:row r="17" ht="21" customHeight="1">
      <x:c r="A17" s="70" t="str">
        <x:v>Comparative Snapshot</x:v>
      </x:c>
    </x:row>
    <x:row r="18">
      <x:c r="A18" s="12" t="str">
        <x:v>Metric</x:v>
      </x:c>
      <x:c r="B18" s="12" t="str">
        <x:v>GOOGL</x:v>
      </x:c>
      <x:c r="C18" s="12" t="str">
        <x:v>Peer Median</x:v>
      </x:c>
      <x:c r="D18" s="12" t="str">
        <x:v>Signal</x:v>
      </x:c>
    </x:row>
    <x:row r="19">
      <x:c r="A19" t="str">
        <x:v>Forward P/E</x:v>
      </x:c>
      <x:c r="B19" s="24" t="n">
        <x:f>'Comparative Analysis'!B4</x:f>
        <x:v>24.045721</x:v>
      </x:c>
      <x:c r="C19" s="24" t="n">
        <x:f>'Comparative Analysis'!C4</x:f>
        <x:v>21.299555</x:v>
      </x:c>
      <x:c r="D19" t="str">
        <x:f>'Comparative Analysis'!F4</x:f>
        <x:v>Premium</x:v>
      </x:c>
    </x:row>
    <x:row r="20">
      <x:c r="A20" t="str">
        <x:v>EV/Revenue</x:v>
      </x:c>
      <x:c r="B20" s="24" t="n">
        <x:f>'Comparative Analysis'!B5</x:f>
        <x:v>12.2040083263</x:v>
      </x:c>
      <x:c r="C20" s="24" t="n">
        <x:f>'Comparative Analysis'!C5</x:f>
        <x:v>7.5875117143</x:v>
      </x:c>
      <x:c r="D20" t="str">
        <x:f>'Comparative Analysis'!F5</x:f>
        <x:v>Premium</x:v>
      </x:c>
    </x:row>
    <x:row r="21">
      <x:c r="A21" t="str">
        <x:v>EV/EBITDA</x:v>
      </x:c>
      <x:c r="B21" s="24" t="n">
        <x:f>'Comparative Analysis'!B6</x:f>
        <x:v>24.6680747977</x:v>
      </x:c>
      <x:c r="C21" s="24" t="n">
        <x:f>'Comparative Analysis'!C6</x:f>
        <x:v>19.3768592339</x:v>
      </x:c>
      <x:c r="D21" t="str">
        <x:f>'Comparative Analysis'!F6</x:f>
        <x:v>Premium</x:v>
      </x:c>
    </x:row>
    <x:row r="22">
      <x:c r="A22" t="str">
        <x:v>Revenue Growth</x:v>
      </x:c>
      <x:c r="B22" s="38" t="n">
        <x:f>'Comparative Analysis'!B7</x:f>
        <x:v>0.242</x:v>
      </x:c>
      <x:c r="C22" s="38" t="n">
        <x:f>'Comparative Analysis'!C7</x:f>
        <x:v>0.177</x:v>
      </x:c>
      <x:c r="D22" t="str">
        <x:f>'Comparative Analysis'!F7</x:f>
        <x:v>Better</x:v>
      </x:c>
    </x:row>
    <x:row r="23">
      <x:c r="A23" t="str">
        <x:v>Operating Margin</x:v>
      </x:c>
      <x:c r="B23" s="38" t="n">
        <x:f>'Comparative Analysis'!B8</x:f>
        <x:v>0.3210977721</x:v>
      </x:c>
      <x:c r="C23" s="38" t="n">
        <x:f>'Comparative Analysis'!C8</x:f>
        <x:v>0.3197079976</x:v>
      </x:c>
      <x:c r="D23" t="str">
        <x:f>'Comparative Analysis'!F8</x:f>
        <x:v>Better</x:v>
      </x:c>
    </x:row>
    <x:row r="24">
      <x:c r="A24" t="str">
        <x:v>ROE</x:v>
      </x:c>
      <x:c r="B24" s="38" t="n">
        <x:f>'Comparative Analysis'!B9</x:f>
        <x:v>0.48676</x:v>
      </x:c>
      <x:c r="C24" s="38" t="n">
        <x:f>'Comparative Analysis'!C9</x:f>
        <x:v>0.34</x:v>
      </x:c>
      <x:c r="D24" t="str">
        <x:f>'Comparative Analysis'!F9</x:f>
        <x:v>Better</x:v>
      </x:c>
    </x:row>
    <x:row r="26" ht="21" customHeight="1">
      <x:c r="A26" s="70" t="str">
        <x:v>Research Status</x:v>
      </x:c>
    </x:row>
    <x:row r="27">
      <x:c r="A27" s="12" t="str">
        <x:v>Item</x:v>
      </x:c>
      <x:c r="B27" s="12" t="str">
        <x:v>Status</x:v>
      </x:c>
    </x:row>
    <x:row r="28">
      <x:c r="A28" t="str">
        <x:v>Historical financials verified</x:v>
      </x:c>
      <x:c r="B28" t="str">
        <x:v>YES</x:v>
      </x:c>
    </x:row>
    <x:row r="29">
      <x:c r="A29" t="str">
        <x:v>Three-case assumptions reviewed</x:v>
      </x:c>
      <x:c r="B29" t="str">
        <x:v>NO</x:v>
      </x:c>
    </x:row>
    <x:row r="30">
      <x:c r="A30" t="str">
        <x:v>Peer group reviewed</x:v>
      </x:c>
      <x:c r="B30" t="str">
        <x:v>NO</x:v>
      </x:c>
    </x:row>
    <x:row r="31">
      <x:c r="A31" t="str">
        <x:v>Investment thesis written</x:v>
      </x:c>
      <x:c r="B31" t="str">
        <x:v>NO</x:v>
      </x:c>
    </x:row>
  </x:sheetData>
  <x:mergeCells>
    <x:mergeCell ref="A1:J1"/>
    <x:mergeCell ref="A3:B3"/>
    <x:mergeCell ref="A3:J3"/>
    <x:mergeCell ref="A17:J17"/>
    <x:mergeCell ref="A26:J26"/>
  </x:mergeCells>
  <x:dataValidations count="1">
    <x:dataValidation type="list" sqref="B28:B31">
      <x:formula1>"YES,NO"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70" hidden="0" customWidth="1"/>
    <x:col min="5" max="5" width="36" hidden="0" customWidth="1"/>
  </x:cols>
  <x:sheetData>
    <x:row r="1" ht="28" customHeight="1">
      <x:c r="A1" s="4" t="str">
        <x:v>SEC Filings &amp; Sources</x:v>
      </x:c>
    </x:row>
    <x:row r="3">
      <x:c r="A3" s="12" t="str">
        <x:v>Type</x:v>
      </x:c>
      <x:c r="B3" s="12" t="str">
        <x:v>Period</x:v>
      </x:c>
      <x:c r="C3" s="12" t="str">
        <x:v>Filed</x:v>
      </x:c>
      <x:c r="D3" s="12" t="str">
        <x:v>Link</x:v>
      </x:c>
      <x:c r="E3" s="12" t="str">
        <x:v>Notes</x:v>
      </x:c>
    </x:row>
    <x:row r="4">
      <x:c r="A4" t="str">
        <x:v>10-Q</x:v>
      </x:c>
      <x:c r="B4" t="str">
        <x:v>2026-06-30</x:v>
      </x:c>
      <x:c r="C4" t="str">
        <x:v>2026-07-23</x:v>
      </x:c>
      <x:c r="D4" s="84" t="str">
        <x:v>https://www.sec.gov/Archives/edgar/data/1652044/000165204426000071/goog-20260630.htm</x:v>
      </x:c>
      <x:c r="E4" s="50" t="str">
        <x:v>Latest quarterly filing</x:v>
      </x:c>
    </x:row>
    <x:row r="5">
      <x:c r="A5" t="str">
        <x:v>10-K</x:v>
      </x:c>
      <x:c r="B5" t="str">
        <x:v>2025-12-31</x:v>
      </x:c>
      <x:c r="C5" t="str">
        <x:v>2026-02-05</x:v>
      </x:c>
      <x:c r="D5" s="84" t="str">
        <x:v>https://www.sec.gov/Archives/edgar/data/1652044/000165204426000018/goog-20251231.htm</x:v>
      </x:c>
      <x:c r="E5" s="50" t="str">
        <x:v>FY2025 annual report</x:v>
      </x:c>
    </x:row>
    <x:row r="6">
      <x:c r="A6" t="str">
        <x:v>10-K</x:v>
      </x:c>
      <x:c r="B6" t="str">
        <x:v>2023-12-31</x:v>
      </x:c>
      <x:c r="C6" t="str">
        <x:v>2024-01-31</x:v>
      </x:c>
      <x:c r="D6" s="84" t="str">
        <x:v>https://www.sec.gov/Archives/edgar/data/1652044/000165204424000022/goog-20231231.htm</x:v>
      </x:c>
      <x:c r="E6" s="50" t="str">
        <x:v>FY2023 annual report</x:v>
      </x:c>
    </x:row>
    <x:row r="7">
      <x:c r="A7" t="str">
        <x:v>10-K</x:v>
      </x:c>
      <x:c r="B7" t="str">
        <x:v>2022-12-31</x:v>
      </x:c>
      <x:c r="C7" t="str">
        <x:v>2023-02-03</x:v>
      </x:c>
      <x:c r="D7" s="84" t="str">
        <x:v>https://www.sec.gov/Archives/edgar/data/1652044/000165204423000016/goog-20221231.htm</x:v>
      </x:c>
      <x:c r="E7" s="50" t="str">
        <x:v>Contains 2020–2022 comparative history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 ht="28" customHeight="1">
      <x:c r="A1" s="4" t="str">
        <x:v>Investment Thesis &amp; Research Notes</x:v>
      </x:c>
    </x:row>
    <x:row r="3">
      <x:c r="A3" s="12" t="str">
        <x:v>Topic</x:v>
      </x:c>
      <x:c r="B3" s="12" t="str">
        <x:v>Notes</x:v>
      </x:c>
    </x:row>
    <x:row r="4" ht="42" customHeight="1">
      <x:c r="A4" t="str">
        <x:v>Business Model</x:v>
      </x:c>
      <x:c r="B4" s="50" t="str"/>
    </x:row>
    <x:row r="5" ht="42" customHeight="1">
      <x:c r="A5" t="str">
        <x:v>Moat</x:v>
      </x:c>
      <x:c r="B5" s="50" t="str"/>
    </x:row>
    <x:row r="6" ht="42" customHeight="1">
      <x:c r="A6" t="str">
        <x:v>Industry / TAM</x:v>
      </x:c>
      <x:c r="B6" s="50" t="str"/>
    </x:row>
    <x:row r="7" ht="42" customHeight="1">
      <x:c r="A7" t="str">
        <x:v>Growth Drivers</x:v>
      </x:c>
      <x:c r="B7" s="50" t="str"/>
    </x:row>
    <x:row r="8" ht="42" customHeight="1">
      <x:c r="A8" t="str">
        <x:v>Management &amp; Capital Allocation</x:v>
      </x:c>
      <x:c r="B8" s="50" t="str"/>
    </x:row>
    <x:row r="9" ht="42" customHeight="1">
      <x:c r="A9" t="str">
        <x:v>Key Risks</x:v>
      </x:c>
      <x:c r="B9" s="50" t="str"/>
    </x:row>
    <x:row r="10" ht="42" customHeight="1">
      <x:c r="A10" t="str">
        <x:v>Thesis</x:v>
      </x:c>
      <x:c r="B10" s="50" t="str"/>
    </x:row>
    <x:row r="11" ht="42" customHeight="1">
      <x:c r="A11" t="str">
        <x:v>Thesis Breakers</x:v>
      </x:c>
      <x:c r="B11" s="50" t="str"/>
    </x:row>
    <x:row r="12" ht="42" customHeight="1">
      <x:c r="A12" t="str">
        <x:v>Catalysts</x:v>
      </x:c>
      <x:c r="B12" s="50" t="str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4" hidden="0" customWidth="1"/>
    <x:col min="3" max="3" width="60" hidden="0" customWidth="1"/>
  </x:cols>
  <x:sheetData>
    <x:row r="1" ht="28" customHeight="1">
      <x:c r="A1" s="4" t="str">
        <x:v>Investment Research Checklist</x:v>
      </x:c>
    </x:row>
    <x:row r="3">
      <x:c r="A3" s="12" t="str">
        <x:v>Checklist Item</x:v>
      </x:c>
      <x:c r="B3" s="12" t="str">
        <x:v>Status</x:v>
      </x:c>
      <x:c r="C3" s="12" t="str">
        <x:v>Notes</x:v>
      </x:c>
    </x:row>
    <x:row r="4">
      <x:c r="A4" t="str">
        <x:v>Historical financials verified</x:v>
      </x:c>
      <x:c r="B4" s="54" t="str">
        <x:v>NO</x:v>
      </x:c>
    </x:row>
    <x:row r="5">
      <x:c r="A5" t="str">
        <x:v>Current market data verified</x:v>
      </x:c>
      <x:c r="B5" s="54" t="str">
        <x:v>NO</x:v>
      </x:c>
    </x:row>
    <x:row r="6">
      <x:c r="A6" t="str">
        <x:v>Bear/Base/Bull assumptions stress-tested</x:v>
      </x:c>
      <x:c r="B6" s="54" t="str">
        <x:v>NO</x:v>
      </x:c>
    </x:row>
    <x:row r="7">
      <x:c r="A7" t="str">
        <x:v>DCF sensitivity reviewed</x:v>
      </x:c>
      <x:c r="B7" s="54" t="str">
        <x:v>NO</x:v>
      </x:c>
    </x:row>
    <x:row r="8">
      <x:c r="A8" t="str">
        <x:v>Peer group reviewed</x:v>
      </x:c>
      <x:c r="B8" s="54" t="str">
        <x:v>NO</x:v>
      </x:c>
    </x:row>
    <x:row r="9">
      <x:c r="A9" t="str">
        <x:v>Competitive moat assessed</x:v>
      </x:c>
      <x:c r="B9" s="54" t="str">
        <x:v>NO</x:v>
      </x:c>
    </x:row>
    <x:row r="10">
      <x:c r="A10" t="str">
        <x:v>Management/capital allocation assessed</x:v>
      </x:c>
      <x:c r="B10" s="54" t="str">
        <x:v>NO</x:v>
      </x:c>
    </x:row>
    <x:row r="11">
      <x:c r="A11" t="str">
        <x:v>Thesis written</x:v>
      </x:c>
      <x:c r="B11" s="54" t="str">
        <x:v>NO</x:v>
      </x:c>
    </x:row>
    <x:row r="12">
      <x:c r="A12" t="str">
        <x:v>Thesis breakers defined</x:v>
      </x:c>
      <x:c r="B12" s="54" t="str">
        <x:v>NO</x:v>
      </x:c>
    </x:row>
    <x:row r="13">
      <x:c r="A13" t="str">
        <x:v>Expected return compensates for risk</x:v>
      </x:c>
      <x:c r="B13" s="54" t="str">
        <x:v>NO</x:v>
      </x:c>
    </x:row>
  </x:sheetData>
  <x:mergeCells>
    <x:mergeCell ref="A1:C1"/>
  </x:mergeCells>
  <x:dataValidations count="1">
    <x:dataValidation type="list" sqref="B4:B13">
      <x:formula1>"YES,NO"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48" hidden="0" customWidth="1"/>
  </x:cols>
  <x:sheetData>
    <x:row r="1" ht="28" customHeight="1">
      <x:c r="A1" s="4" t="str">
        <x:v>Data Dictionary &amp; Model Architecture</x:v>
      </x:c>
    </x:row>
    <x:row r="3">
      <x:c r="A3" s="12" t="str">
        <x:v>Area</x:v>
      </x:c>
      <x:c r="B3" s="12" t="str">
        <x:v>Source / Logic</x:v>
      </x:c>
      <x:c r="C3" s="12" t="str">
        <x:v>Purpose</x:v>
      </x:c>
    </x:row>
    <x:row r="4">
      <x:c r="A4" t="str">
        <x:v>Company Data</x:v>
      </x:c>
      <x:c r="B4" s="50" t="str">
        <x:v>Yahoo Finance / current market snapshot</x:v>
      </x:c>
      <x:c r="C4" s="50" t="str">
        <x:v>Current price, market cap, EV, cash/debt</x:v>
      </x:c>
    </x:row>
    <x:row r="5">
      <x:c r="A5" t="str">
        <x:v>Historical Financials</x:v>
      </x:c>
      <x:c r="B5" s="50" t="str">
        <x:v>SEC EDGAR 10-Ks</x:v>
      </x:c>
      <x:c r="C5" s="50" t="str">
        <x:v>Audited annual fundamentals</x:v>
      </x:c>
    </x:row>
    <x:row r="6">
      <x:c r="A6" t="str">
        <x:v>Three-Case Scenarios</x:v>
      </x:c>
      <x:c r="B6" s="50" t="str">
        <x:v>User-editable assumptions + historical anchors</x:v>
      </x:c>
      <x:c r="C6" s="50" t="str">
        <x:v>Single authoritative forecast and scenario engine</x:v>
      </x:c>
    </x:row>
    <x:row r="7">
      <x:c r="A7" t="str">
        <x:v>DCF</x:v>
      </x:c>
      <x:c r="B7" s="50" t="str">
        <x:v>Links only to Base case in Three-Case Scenarios</x:v>
      </x:c>
      <x:c r="C7" s="50" t="str">
        <x:v>Base valuation and sensitivity</x:v>
      </x:c>
    </x:row>
    <x:row r="8">
      <x:c r="A8" t="str">
        <x:v>Comparative Analysis</x:v>
      </x:c>
      <x:c r="B8" s="50" t="str">
        <x:v>Directly from Peer Comps</x:v>
      </x:c>
      <x:c r="C8" s="50" t="str">
        <x:v>No helper/duplicate comparison sheet</x:v>
      </x:c>
    </x:row>
    <x:row r="9">
      <x:c r="A9" t="str">
        <x:v>Peer Comps</x:v>
      </x:c>
      <x:c r="B9" s="50" t="str">
        <x:v>Selected mega-cap tech / internet peers</x:v>
      </x:c>
      <x:c r="C9" s="50" t="str">
        <x:v>Relative valuation and operating comparison</x:v>
      </x:c>
    </x:row>
    <x:row r="10">
      <x:c r="A10" t="str">
        <x:v>Dashboard</x:v>
      </x:c>
      <x:c r="B10" s="50" t="str">
        <x:v>Links to authoritative source sheets</x:v>
      </x:c>
      <x:c r="C10" s="50" t="str">
        <x:v>Summary only; no duplicate calculations</x:v>
      </x:c>
    </x:row>
  </x:sheetData>
  <x:mergeCells>
    <x:mergeCell ref="A1:C1"/>
  </x:mergeCells>
  <x:pageMargins left="0.7" right="0.7" top="0.75" bottom="0.75" header="0.3" footer="0.3"/>
</x:worksheet>
</file>